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ark\Documents\PARA Method\1 PROJECTS\Data Science Projects\Calculating Value at Risk\"/>
    </mc:Choice>
  </mc:AlternateContent>
  <xr:revisionPtr revIDLastSave="0" documentId="13_ncr:1_{ACF98371-66DB-4FEC-848C-3DBBF6F926C0}" xr6:coauthVersionLast="47" xr6:coauthVersionMax="47" xr10:uidLastSave="{00000000-0000-0000-0000-000000000000}"/>
  <bookViews>
    <workbookView xWindow="-108" yWindow="-108" windowWidth="23256" windowHeight="13176" activeTab="2" xr2:uid="{F445BFF2-8F6D-4C16-89BA-004F444E3217}"/>
  </bookViews>
  <sheets>
    <sheet name="value-at-risk" sheetId="11" r:id="rId1"/>
    <sheet name="simulation" sheetId="9" r:id="rId2"/>
    <sheet name="data" sheetId="8" r:id="rId3"/>
  </sheets>
  <definedNames>
    <definedName name="_xlchart.v1.0" hidden="1">simulation!$L$2:$L$1001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9" l="1"/>
  <c r="F5" i="9"/>
  <c r="C12" i="11" s="1"/>
  <c r="F6" i="9"/>
  <c r="C13" i="11" s="1"/>
  <c r="F4" i="9"/>
  <c r="C11" i="11" s="1"/>
  <c r="B13" i="9"/>
  <c r="B9" i="9"/>
  <c r="G1" i="8"/>
  <c r="A1" i="8"/>
  <c r="Q13" i="8" l="1"/>
  <c r="P8" i="8"/>
  <c r="P250" i="8"/>
  <c r="P244" i="8"/>
  <c r="P238" i="8"/>
  <c r="P232" i="8"/>
  <c r="P226" i="8"/>
  <c r="P220" i="8"/>
  <c r="P212" i="8"/>
  <c r="P205" i="8"/>
  <c r="P198" i="8"/>
  <c r="P191" i="8"/>
  <c r="P182" i="8"/>
  <c r="P174" i="8"/>
  <c r="P164" i="8"/>
  <c r="P156" i="8"/>
  <c r="P146" i="8"/>
  <c r="P138" i="8"/>
  <c r="P128" i="8"/>
  <c r="P120" i="8"/>
  <c r="P110" i="8"/>
  <c r="P102" i="8"/>
  <c r="P92" i="8"/>
  <c r="P84" i="8"/>
  <c r="P73" i="8"/>
  <c r="P61" i="8"/>
  <c r="P49" i="8"/>
  <c r="P37" i="8"/>
  <c r="P25" i="8"/>
  <c r="P13" i="8"/>
  <c r="Q253" i="8"/>
  <c r="Q241" i="8"/>
  <c r="Q229" i="8"/>
  <c r="Q217" i="8"/>
  <c r="Q205" i="8"/>
  <c r="Q193" i="8"/>
  <c r="Q181" i="8"/>
  <c r="Q169" i="8"/>
  <c r="Q157" i="8"/>
  <c r="Q145" i="8"/>
  <c r="Q133" i="8"/>
  <c r="Q121" i="8"/>
  <c r="Q109" i="8"/>
  <c r="Q97" i="8"/>
  <c r="Q85" i="8"/>
  <c r="Q73" i="8"/>
  <c r="Q61" i="8"/>
  <c r="Q49" i="8"/>
  <c r="Q37" i="8"/>
  <c r="Q20" i="8"/>
  <c r="P3" i="8"/>
  <c r="P243" i="8"/>
  <c r="P231" i="8"/>
  <c r="P225" i="8"/>
  <c r="P211" i="8"/>
  <c r="P197" i="8"/>
  <c r="P181" i="8"/>
  <c r="P163" i="8"/>
  <c r="P155" i="8"/>
  <c r="P137" i="8"/>
  <c r="P119" i="8"/>
  <c r="P101" i="8"/>
  <c r="P83" i="8"/>
  <c r="P60" i="8"/>
  <c r="P36" i="8"/>
  <c r="P24" i="8"/>
  <c r="P12" i="8"/>
  <c r="Q252" i="8"/>
  <c r="Q240" i="8"/>
  <c r="Q228" i="8"/>
  <c r="Q216" i="8"/>
  <c r="Q204" i="8"/>
  <c r="Q192" i="8"/>
  <c r="Q180" i="8"/>
  <c r="Q168" i="8"/>
  <c r="Q156" i="8"/>
  <c r="Q144" i="8"/>
  <c r="Q132" i="8"/>
  <c r="Q120" i="8"/>
  <c r="Q108" i="8"/>
  <c r="Q96" i="8"/>
  <c r="Q84" i="8"/>
  <c r="Q72" i="8"/>
  <c r="Q60" i="8"/>
  <c r="Q48" i="8"/>
  <c r="Q36" i="8"/>
  <c r="Q19" i="8"/>
  <c r="P249" i="8"/>
  <c r="P237" i="8"/>
  <c r="P218" i="8"/>
  <c r="P204" i="8"/>
  <c r="P190" i="8"/>
  <c r="P173" i="8"/>
  <c r="P145" i="8"/>
  <c r="P127" i="8"/>
  <c r="P109" i="8"/>
  <c r="P91" i="8"/>
  <c r="P72" i="8"/>
  <c r="P48" i="8"/>
  <c r="P254" i="8"/>
  <c r="P248" i="8"/>
  <c r="P242" i="8"/>
  <c r="P236" i="8"/>
  <c r="P230" i="8"/>
  <c r="P224" i="8"/>
  <c r="P217" i="8"/>
  <c r="P210" i="8"/>
  <c r="P203" i="8"/>
  <c r="P196" i="8"/>
  <c r="P188" i="8"/>
  <c r="P180" i="8"/>
  <c r="P170" i="8"/>
  <c r="P162" i="8"/>
  <c r="P152" i="8"/>
  <c r="P144" i="8"/>
  <c r="P134" i="8"/>
  <c r="P126" i="8"/>
  <c r="P116" i="8"/>
  <c r="P108" i="8"/>
  <c r="P98" i="8"/>
  <c r="P90" i="8"/>
  <c r="P80" i="8"/>
  <c r="P68" i="8"/>
  <c r="P56" i="8"/>
  <c r="P44" i="8"/>
  <c r="P32" i="8"/>
  <c r="P20" i="8"/>
  <c r="Q248" i="8"/>
  <c r="Q236" i="8"/>
  <c r="Q224" i="8"/>
  <c r="Q212" i="8"/>
  <c r="Q200" i="8"/>
  <c r="Q188" i="8"/>
  <c r="Q176" i="8"/>
  <c r="Q164" i="8"/>
  <c r="Q152" i="8"/>
  <c r="Q140" i="8"/>
  <c r="Q128" i="8"/>
  <c r="Q116" i="8"/>
  <c r="Q104" i="8"/>
  <c r="Q92" i="8"/>
  <c r="Q80" i="8"/>
  <c r="Q68" i="8"/>
  <c r="Q56" i="8"/>
  <c r="Q44" i="8"/>
  <c r="Q32" i="8"/>
  <c r="Q14" i="8"/>
  <c r="S14" i="8" s="1"/>
  <c r="P4" i="8"/>
  <c r="P10" i="8"/>
  <c r="P16" i="8"/>
  <c r="P22" i="8"/>
  <c r="P28" i="8"/>
  <c r="P34" i="8"/>
  <c r="P40" i="8"/>
  <c r="P46" i="8"/>
  <c r="P52" i="8"/>
  <c r="P58" i="8"/>
  <c r="P64" i="8"/>
  <c r="P70" i="8"/>
  <c r="P76" i="8"/>
  <c r="P82" i="8"/>
  <c r="P88" i="8"/>
  <c r="P94" i="8"/>
  <c r="P100" i="8"/>
  <c r="P106" i="8"/>
  <c r="P112" i="8"/>
  <c r="P118" i="8"/>
  <c r="P124" i="8"/>
  <c r="P130" i="8"/>
  <c r="P136" i="8"/>
  <c r="P142" i="8"/>
  <c r="P148" i="8"/>
  <c r="P154" i="8"/>
  <c r="P160" i="8"/>
  <c r="P166" i="8"/>
  <c r="P172" i="8"/>
  <c r="P178" i="8"/>
  <c r="P184" i="8"/>
  <c r="P5" i="8"/>
  <c r="P11" i="8"/>
  <c r="P17" i="8"/>
  <c r="P23" i="8"/>
  <c r="P29" i="8"/>
  <c r="P35" i="8"/>
  <c r="P41" i="8"/>
  <c r="P47" i="8"/>
  <c r="P53" i="8"/>
  <c r="P59" i="8"/>
  <c r="P65" i="8"/>
  <c r="P71" i="8"/>
  <c r="P77" i="8"/>
  <c r="P9" i="8"/>
  <c r="R9" i="8" s="1"/>
  <c r="P15" i="8"/>
  <c r="P21" i="8"/>
  <c r="P27" i="8"/>
  <c r="P33" i="8"/>
  <c r="P39" i="8"/>
  <c r="P45" i="8"/>
  <c r="P51" i="8"/>
  <c r="P57" i="8"/>
  <c r="P63" i="8"/>
  <c r="P69" i="8"/>
  <c r="P75" i="8"/>
  <c r="P81" i="8"/>
  <c r="P87" i="8"/>
  <c r="P93" i="8"/>
  <c r="P99" i="8"/>
  <c r="P105" i="8"/>
  <c r="P111" i="8"/>
  <c r="P117" i="8"/>
  <c r="P123" i="8"/>
  <c r="P129" i="8"/>
  <c r="P135" i="8"/>
  <c r="P141" i="8"/>
  <c r="P147" i="8"/>
  <c r="R147" i="8" s="1"/>
  <c r="P153" i="8"/>
  <c r="P159" i="8"/>
  <c r="P165" i="8"/>
  <c r="P171" i="8"/>
  <c r="P177" i="8"/>
  <c r="P183" i="8"/>
  <c r="P189" i="8"/>
  <c r="P195" i="8"/>
  <c r="P201" i="8"/>
  <c r="P207" i="8"/>
  <c r="P213" i="8"/>
  <c r="P219" i="8"/>
  <c r="P253" i="8"/>
  <c r="P247" i="8"/>
  <c r="P241" i="8"/>
  <c r="P235" i="8"/>
  <c r="P229" i="8"/>
  <c r="P223" i="8"/>
  <c r="P216" i="8"/>
  <c r="P209" i="8"/>
  <c r="P202" i="8"/>
  <c r="R202" i="8" s="1"/>
  <c r="P194" i="8"/>
  <c r="P187" i="8"/>
  <c r="P179" i="8"/>
  <c r="P169" i="8"/>
  <c r="P161" i="8"/>
  <c r="P151" i="8"/>
  <c r="P143" i="8"/>
  <c r="R143" i="8" s="1"/>
  <c r="P133" i="8"/>
  <c r="P125" i="8"/>
  <c r="P115" i="8"/>
  <c r="P107" i="8"/>
  <c r="P97" i="8"/>
  <c r="P89" i="8"/>
  <c r="P79" i="8"/>
  <c r="P67" i="8"/>
  <c r="P55" i="8"/>
  <c r="P43" i="8"/>
  <c r="P31" i="8"/>
  <c r="P19" i="8"/>
  <c r="P7" i="8"/>
  <c r="Q247" i="8"/>
  <c r="Q235" i="8"/>
  <c r="Q223" i="8"/>
  <c r="Q211" i="8"/>
  <c r="Q199" i="8"/>
  <c r="Q187" i="8"/>
  <c r="Q175" i="8"/>
  <c r="Q163" i="8"/>
  <c r="Q151" i="8"/>
  <c r="Q139" i="8"/>
  <c r="Q127" i="8"/>
  <c r="Q115" i="8"/>
  <c r="Q103" i="8"/>
  <c r="Q91" i="8"/>
  <c r="Q79" i="8"/>
  <c r="Q67" i="8"/>
  <c r="Q55" i="8"/>
  <c r="Q43" i="8"/>
  <c r="Q31" i="8"/>
  <c r="Q6" i="8"/>
  <c r="Q8" i="8"/>
  <c r="Q5" i="8"/>
  <c r="Q11" i="8"/>
  <c r="Q9" i="8"/>
  <c r="Q16" i="8"/>
  <c r="Q22" i="8"/>
  <c r="Q28" i="8"/>
  <c r="Q34" i="8"/>
  <c r="Q40" i="8"/>
  <c r="Q46" i="8"/>
  <c r="Q52" i="8"/>
  <c r="Q58" i="8"/>
  <c r="Q64" i="8"/>
  <c r="Q70" i="8"/>
  <c r="Q76" i="8"/>
  <c r="Q82" i="8"/>
  <c r="Q88" i="8"/>
  <c r="Q94" i="8"/>
  <c r="Q100" i="8"/>
  <c r="Q106" i="8"/>
  <c r="Q112" i="8"/>
  <c r="Q118" i="8"/>
  <c r="Q124" i="8"/>
  <c r="Q130" i="8"/>
  <c r="Q136" i="8"/>
  <c r="Q142" i="8"/>
  <c r="Q148" i="8"/>
  <c r="Q154" i="8"/>
  <c r="Q160" i="8"/>
  <c r="Q166" i="8"/>
  <c r="Q172" i="8"/>
  <c r="Q178" i="8"/>
  <c r="Q184" i="8"/>
  <c r="Q190" i="8"/>
  <c r="Q196" i="8"/>
  <c r="Q202" i="8"/>
  <c r="Q208" i="8"/>
  <c r="Q214" i="8"/>
  <c r="Q220" i="8"/>
  <c r="Q226" i="8"/>
  <c r="Q232" i="8"/>
  <c r="Q238" i="8"/>
  <c r="Q244" i="8"/>
  <c r="Q250" i="8"/>
  <c r="Q10" i="8"/>
  <c r="Q17" i="8"/>
  <c r="Q23" i="8"/>
  <c r="Q29" i="8"/>
  <c r="Q35" i="8"/>
  <c r="Q41" i="8"/>
  <c r="Q47" i="8"/>
  <c r="Q53" i="8"/>
  <c r="Q59" i="8"/>
  <c r="Q65" i="8"/>
  <c r="Q71" i="8"/>
  <c r="Q77" i="8"/>
  <c r="Q83" i="8"/>
  <c r="Q89" i="8"/>
  <c r="Q95" i="8"/>
  <c r="Q101" i="8"/>
  <c r="Q107" i="8"/>
  <c r="Q113" i="8"/>
  <c r="Q119" i="8"/>
  <c r="Q125" i="8"/>
  <c r="Q131" i="8"/>
  <c r="Q137" i="8"/>
  <c r="Q143" i="8"/>
  <c r="Q149" i="8"/>
  <c r="Q155" i="8"/>
  <c r="Q161" i="8"/>
  <c r="Q167" i="8"/>
  <c r="Q173" i="8"/>
  <c r="Q179" i="8"/>
  <c r="Q185" i="8"/>
  <c r="Q191" i="8"/>
  <c r="Q197" i="8"/>
  <c r="Q203" i="8"/>
  <c r="Q209" i="8"/>
  <c r="Q215" i="8"/>
  <c r="Q221" i="8"/>
  <c r="Q227" i="8"/>
  <c r="Q233" i="8"/>
  <c r="Q239" i="8"/>
  <c r="Q245" i="8"/>
  <c r="Q251" i="8"/>
  <c r="Q12" i="8"/>
  <c r="Q18" i="8"/>
  <c r="Q24" i="8"/>
  <c r="Q30" i="8"/>
  <c r="Q7" i="8"/>
  <c r="S7" i="8" s="1"/>
  <c r="Q15" i="8"/>
  <c r="S15" i="8" s="1"/>
  <c r="Q21" i="8"/>
  <c r="S21" i="8" s="1"/>
  <c r="Q27" i="8"/>
  <c r="Q33" i="8"/>
  <c r="S33" i="8" s="1"/>
  <c r="Q39" i="8"/>
  <c r="Q45" i="8"/>
  <c r="Q51" i="8"/>
  <c r="Q57" i="8"/>
  <c r="Q63" i="8"/>
  <c r="Q69" i="8"/>
  <c r="Q75" i="8"/>
  <c r="Q81" i="8"/>
  <c r="Q87" i="8"/>
  <c r="Q93" i="8"/>
  <c r="S93" i="8" s="1"/>
  <c r="Q99" i="8"/>
  <c r="Q105" i="8"/>
  <c r="S105" i="8" s="1"/>
  <c r="Q111" i="8"/>
  <c r="Q117" i="8"/>
  <c r="Q123" i="8"/>
  <c r="Q129" i="8"/>
  <c r="Q135" i="8"/>
  <c r="Q141" i="8"/>
  <c r="Q147" i="8"/>
  <c r="Q153" i="8"/>
  <c r="Q159" i="8"/>
  <c r="Q165" i="8"/>
  <c r="S165" i="8" s="1"/>
  <c r="Q171" i="8"/>
  <c r="Q177" i="8"/>
  <c r="S177" i="8" s="1"/>
  <c r="Q183" i="8"/>
  <c r="Q189" i="8"/>
  <c r="Q195" i="8"/>
  <c r="Q201" i="8"/>
  <c r="Q207" i="8"/>
  <c r="Q213" i="8"/>
  <c r="Q219" i="8"/>
  <c r="Q225" i="8"/>
  <c r="Q231" i="8"/>
  <c r="Q237" i="8"/>
  <c r="S237" i="8" s="1"/>
  <c r="Q243" i="8"/>
  <c r="Q249" i="8"/>
  <c r="S249" i="8" s="1"/>
  <c r="Q3" i="8"/>
  <c r="P252" i="8"/>
  <c r="P246" i="8"/>
  <c r="P240" i="8"/>
  <c r="P234" i="8"/>
  <c r="P228" i="8"/>
  <c r="P222" i="8"/>
  <c r="P215" i="8"/>
  <c r="P208" i="8"/>
  <c r="P200" i="8"/>
  <c r="P193" i="8"/>
  <c r="P186" i="8"/>
  <c r="P176" i="8"/>
  <c r="P168" i="8"/>
  <c r="P158" i="8"/>
  <c r="P150" i="8"/>
  <c r="P140" i="8"/>
  <c r="P132" i="8"/>
  <c r="P122" i="8"/>
  <c r="P114" i="8"/>
  <c r="P104" i="8"/>
  <c r="P96" i="8"/>
  <c r="P86" i="8"/>
  <c r="P78" i="8"/>
  <c r="P66" i="8"/>
  <c r="P54" i="8"/>
  <c r="R54" i="8" s="1"/>
  <c r="P42" i="8"/>
  <c r="P30" i="8"/>
  <c r="P18" i="8"/>
  <c r="R18" i="8" s="1"/>
  <c r="P6" i="8"/>
  <c r="Q246" i="8"/>
  <c r="Q234" i="8"/>
  <c r="Q222" i="8"/>
  <c r="Q210" i="8"/>
  <c r="Q198" i="8"/>
  <c r="Q186" i="8"/>
  <c r="Q174" i="8"/>
  <c r="Q162" i="8"/>
  <c r="Q150" i="8"/>
  <c r="Q138" i="8"/>
  <c r="Q126" i="8"/>
  <c r="Q114" i="8"/>
  <c r="Q102" i="8"/>
  <c r="Q90" i="8"/>
  <c r="Q78" i="8"/>
  <c r="Q66" i="8"/>
  <c r="Q54" i="8"/>
  <c r="Q42" i="8"/>
  <c r="S42" i="8" s="1"/>
  <c r="Q26" i="8"/>
  <c r="Q4" i="8"/>
  <c r="P251" i="8"/>
  <c r="P245" i="8"/>
  <c r="R245" i="8" s="1"/>
  <c r="P239" i="8"/>
  <c r="P233" i="8"/>
  <c r="P227" i="8"/>
  <c r="R227" i="8" s="1"/>
  <c r="P221" i="8"/>
  <c r="R221" i="8" s="1"/>
  <c r="P214" i="8"/>
  <c r="P206" i="8"/>
  <c r="R206" i="8" s="1"/>
  <c r="P199" i="8"/>
  <c r="P192" i="8"/>
  <c r="P185" i="8"/>
  <c r="P175" i="8"/>
  <c r="R175" i="8" s="1"/>
  <c r="P167" i="8"/>
  <c r="R167" i="8" s="1"/>
  <c r="P157" i="8"/>
  <c r="P149" i="8"/>
  <c r="P139" i="8"/>
  <c r="P131" i="8"/>
  <c r="R131" i="8" s="1"/>
  <c r="P121" i="8"/>
  <c r="R121" i="8" s="1"/>
  <c r="P113" i="8"/>
  <c r="P103" i="8"/>
  <c r="P95" i="8"/>
  <c r="R95" i="8" s="1"/>
  <c r="P85" i="8"/>
  <c r="P74" i="8"/>
  <c r="R74" i="8" s="1"/>
  <c r="P62" i="8"/>
  <c r="R62" i="8" s="1"/>
  <c r="P50" i="8"/>
  <c r="P38" i="8"/>
  <c r="P26" i="8"/>
  <c r="P14" i="8"/>
  <c r="Q254" i="8"/>
  <c r="Q242" i="8"/>
  <c r="S242" i="8" s="1"/>
  <c r="Q230" i="8"/>
  <c r="S230" i="8" s="1"/>
  <c r="Q218" i="8"/>
  <c r="Q206" i="8"/>
  <c r="Q194" i="8"/>
  <c r="Q182" i="8"/>
  <c r="Q170" i="8"/>
  <c r="S170" i="8" s="1"/>
  <c r="Q158" i="8"/>
  <c r="S158" i="8" s="1"/>
  <c r="Q146" i="8"/>
  <c r="Q134" i="8"/>
  <c r="Q122" i="8"/>
  <c r="Q110" i="8"/>
  <c r="Q98" i="8"/>
  <c r="S98" i="8" s="1"/>
  <c r="Q86" i="8"/>
  <c r="S86" i="8" s="1"/>
  <c r="Q74" i="8"/>
  <c r="Q62" i="8"/>
  <c r="Q50" i="8"/>
  <c r="Q38" i="8"/>
  <c r="Q25" i="8"/>
  <c r="R199" i="8" l="1"/>
  <c r="R239" i="8"/>
  <c r="S213" i="8"/>
  <c r="S141" i="8"/>
  <c r="S69" i="8"/>
  <c r="S62" i="8"/>
  <c r="T62" i="8" s="1"/>
  <c r="S206" i="8"/>
  <c r="T206" i="8" s="1"/>
  <c r="S134" i="8"/>
  <c r="R45" i="8"/>
  <c r="R225" i="8"/>
  <c r="R84" i="8"/>
  <c r="R14" i="8"/>
  <c r="T14" i="8" s="1"/>
  <c r="R85" i="8"/>
  <c r="R139" i="8"/>
  <c r="R192" i="8"/>
  <c r="R233" i="8"/>
  <c r="R6" i="8"/>
  <c r="R78" i="8"/>
  <c r="R26" i="8"/>
  <c r="S74" i="8"/>
  <c r="T74" i="8" s="1"/>
  <c r="R38" i="8"/>
  <c r="S225" i="8"/>
  <c r="S153" i="8"/>
  <c r="S81" i="8"/>
  <c r="R189" i="8"/>
  <c r="R117" i="8"/>
  <c r="R81" i="8"/>
  <c r="R160" i="8"/>
  <c r="R124" i="8"/>
  <c r="R88" i="8"/>
  <c r="R52" i="8"/>
  <c r="R16" i="8"/>
  <c r="S146" i="8"/>
  <c r="R157" i="8"/>
  <c r="S68" i="8"/>
  <c r="S140" i="8"/>
  <c r="S212" i="8"/>
  <c r="R149" i="8"/>
  <c r="R171" i="8"/>
  <c r="R135" i="8"/>
  <c r="R65" i="8"/>
  <c r="R29" i="8"/>
  <c r="S218" i="8"/>
  <c r="R103" i="8"/>
  <c r="R73" i="8"/>
  <c r="R55" i="8"/>
  <c r="R169" i="8"/>
  <c r="R50" i="8"/>
  <c r="R251" i="8"/>
  <c r="R107" i="8"/>
  <c r="R253" i="8"/>
  <c r="R115" i="8"/>
  <c r="R185" i="8"/>
  <c r="R66" i="8"/>
  <c r="R122" i="8"/>
  <c r="R176" i="8"/>
  <c r="R222" i="8"/>
  <c r="R179" i="8"/>
  <c r="R219" i="8"/>
  <c r="R111" i="8"/>
  <c r="R77" i="8"/>
  <c r="R5" i="8"/>
  <c r="R127" i="8"/>
  <c r="R231" i="8"/>
  <c r="R213" i="8"/>
  <c r="T213" i="8" s="1"/>
  <c r="R69" i="8"/>
  <c r="T69" i="8" s="1"/>
  <c r="R71" i="8"/>
  <c r="R35" i="8"/>
  <c r="R4" i="8"/>
  <c r="R216" i="8"/>
  <c r="R30" i="8"/>
  <c r="R165" i="8"/>
  <c r="T165" i="8" s="1"/>
  <c r="S245" i="8"/>
  <c r="T245" i="8" s="1"/>
  <c r="S65" i="8"/>
  <c r="S182" i="8"/>
  <c r="S102" i="8"/>
  <c r="S30" i="8"/>
  <c r="S66" i="8"/>
  <c r="S138" i="8"/>
  <c r="S210" i="8"/>
  <c r="S137" i="8"/>
  <c r="S38" i="8"/>
  <c r="S167" i="8"/>
  <c r="T167" i="8" s="1"/>
  <c r="S131" i="8"/>
  <c r="T131" i="8" s="1"/>
  <c r="S95" i="8"/>
  <c r="T95" i="8" s="1"/>
  <c r="S59" i="8"/>
  <c r="S23" i="8"/>
  <c r="S173" i="8"/>
  <c r="S29" i="8"/>
  <c r="S254" i="8"/>
  <c r="S174" i="8"/>
  <c r="S203" i="8"/>
  <c r="S50" i="8"/>
  <c r="S122" i="8"/>
  <c r="S194" i="8"/>
  <c r="S9" i="8"/>
  <c r="T9" i="8" s="1"/>
  <c r="S209" i="8"/>
  <c r="S101" i="8"/>
  <c r="S110" i="8"/>
  <c r="S246" i="8"/>
  <c r="S239" i="8"/>
  <c r="T239" i="8" s="1"/>
  <c r="S243" i="8"/>
  <c r="S171" i="8"/>
  <c r="S99" i="8"/>
  <c r="S12" i="8"/>
  <c r="S221" i="8"/>
  <c r="T221" i="8" s="1"/>
  <c r="S185" i="8"/>
  <c r="S149" i="8"/>
  <c r="S113" i="8"/>
  <c r="S77" i="8"/>
  <c r="S41" i="8"/>
  <c r="S80" i="8"/>
  <c r="S152" i="8"/>
  <c r="S224" i="8"/>
  <c r="R102" i="8"/>
  <c r="R113" i="8"/>
  <c r="R93" i="8"/>
  <c r="T93" i="8" s="1"/>
  <c r="S4" i="8"/>
  <c r="S189" i="8"/>
  <c r="S117" i="8"/>
  <c r="S45" i="8"/>
  <c r="S114" i="8"/>
  <c r="S186" i="8"/>
  <c r="S24" i="8"/>
  <c r="S233" i="8"/>
  <c r="S197" i="8"/>
  <c r="S161" i="8"/>
  <c r="S125" i="8"/>
  <c r="S89" i="8"/>
  <c r="S53" i="8"/>
  <c r="S17" i="8"/>
  <c r="S226" i="8"/>
  <c r="S190" i="8"/>
  <c r="S154" i="8"/>
  <c r="S118" i="8"/>
  <c r="S82" i="8"/>
  <c r="S46" i="8"/>
  <c r="S31" i="8"/>
  <c r="S103" i="8"/>
  <c r="S175" i="8"/>
  <c r="T175" i="8" s="1"/>
  <c r="S247" i="8"/>
  <c r="S56" i="8"/>
  <c r="S128" i="8"/>
  <c r="S200" i="8"/>
  <c r="S60" i="8"/>
  <c r="S132" i="8"/>
  <c r="S204" i="8"/>
  <c r="S49" i="8"/>
  <c r="S121" i="8"/>
  <c r="T121" i="8" s="1"/>
  <c r="S193" i="8"/>
  <c r="S27" i="8"/>
  <c r="S220" i="8"/>
  <c r="S184" i="8"/>
  <c r="S148" i="8"/>
  <c r="S112" i="8"/>
  <c r="S76" i="8"/>
  <c r="S40" i="8"/>
  <c r="R125" i="8"/>
  <c r="T125" i="8" s="1"/>
  <c r="R228" i="8"/>
  <c r="R183" i="8"/>
  <c r="R75" i="8"/>
  <c r="R39" i="8"/>
  <c r="R41" i="8"/>
  <c r="R154" i="8"/>
  <c r="T154" i="8" s="1"/>
  <c r="R118" i="8"/>
  <c r="T118" i="8" s="1"/>
  <c r="R82" i="8"/>
  <c r="T82" i="8" s="1"/>
  <c r="R46" i="8"/>
  <c r="T46" i="8" s="1"/>
  <c r="R10" i="8"/>
  <c r="R32" i="8"/>
  <c r="R98" i="8"/>
  <c r="T98" i="8" s="1"/>
  <c r="R152" i="8"/>
  <c r="R203" i="8"/>
  <c r="T203" i="8" s="1"/>
  <c r="R242" i="8"/>
  <c r="T242" i="8" s="1"/>
  <c r="R109" i="8"/>
  <c r="R218" i="8"/>
  <c r="T218" i="8" s="1"/>
  <c r="R24" i="8"/>
  <c r="R137" i="8"/>
  <c r="T137" i="8" s="1"/>
  <c r="R13" i="8"/>
  <c r="R191" i="8"/>
  <c r="R232" i="8"/>
  <c r="R198" i="8"/>
  <c r="R132" i="8"/>
  <c r="T132" i="8" s="1"/>
  <c r="R223" i="8"/>
  <c r="R89" i="8"/>
  <c r="R186" i="8"/>
  <c r="T186" i="8" s="1"/>
  <c r="R67" i="8"/>
  <c r="R214" i="8"/>
  <c r="R208" i="8"/>
  <c r="R129" i="8"/>
  <c r="R57" i="8"/>
  <c r="R21" i="8"/>
  <c r="T21" i="8" s="1"/>
  <c r="R59" i="8"/>
  <c r="T59" i="8" s="1"/>
  <c r="R23" i="8"/>
  <c r="T23" i="8" s="1"/>
  <c r="S26" i="8"/>
  <c r="S219" i="8"/>
  <c r="S183" i="8"/>
  <c r="S147" i="8"/>
  <c r="T147" i="8" s="1"/>
  <c r="S111" i="8"/>
  <c r="S75" i="8"/>
  <c r="S39" i="8"/>
  <c r="S232" i="8"/>
  <c r="S196" i="8"/>
  <c r="S160" i="8"/>
  <c r="S124" i="8"/>
  <c r="S88" i="8"/>
  <c r="S52" i="8"/>
  <c r="S16" i="8"/>
  <c r="S91" i="8"/>
  <c r="S163" i="8"/>
  <c r="S235" i="8"/>
  <c r="S44" i="8"/>
  <c r="S116" i="8"/>
  <c r="S188" i="8"/>
  <c r="S48" i="8"/>
  <c r="S120" i="8"/>
  <c r="S192" i="8"/>
  <c r="S37" i="8"/>
  <c r="S109" i="8"/>
  <c r="S181" i="8"/>
  <c r="S253" i="8"/>
  <c r="S54" i="8"/>
  <c r="T54" i="8" s="1"/>
  <c r="S18" i="8"/>
  <c r="T18" i="8" s="1"/>
  <c r="S227" i="8"/>
  <c r="T227" i="8" s="1"/>
  <c r="S191" i="8"/>
  <c r="S155" i="8"/>
  <c r="S119" i="8"/>
  <c r="S83" i="8"/>
  <c r="S47" i="8"/>
  <c r="S10" i="8"/>
  <c r="S11" i="8"/>
  <c r="S43" i="8"/>
  <c r="S115" i="8"/>
  <c r="S187" i="8"/>
  <c r="S72" i="8"/>
  <c r="S144" i="8"/>
  <c r="S216" i="8"/>
  <c r="S61" i="8"/>
  <c r="S133" i="8"/>
  <c r="S205" i="8"/>
  <c r="S129" i="8"/>
  <c r="S57" i="8"/>
  <c r="S250" i="8"/>
  <c r="S214" i="8"/>
  <c r="S178" i="8"/>
  <c r="S142" i="8"/>
  <c r="S106" i="8"/>
  <c r="S70" i="8"/>
  <c r="S34" i="8"/>
  <c r="S5" i="8"/>
  <c r="S55" i="8"/>
  <c r="S127" i="8"/>
  <c r="S199" i="8"/>
  <c r="T199" i="8" s="1"/>
  <c r="S84" i="8"/>
  <c r="S156" i="8"/>
  <c r="S228" i="8"/>
  <c r="S73" i="8"/>
  <c r="S145" i="8"/>
  <c r="S217" i="8"/>
  <c r="S126" i="8"/>
  <c r="S135" i="8"/>
  <c r="S78" i="8"/>
  <c r="S150" i="8"/>
  <c r="S222" i="8"/>
  <c r="S231" i="8"/>
  <c r="S195" i="8"/>
  <c r="S159" i="8"/>
  <c r="S123" i="8"/>
  <c r="S87" i="8"/>
  <c r="S51" i="8"/>
  <c r="S251" i="8"/>
  <c r="S215" i="8"/>
  <c r="S179" i="8"/>
  <c r="S143" i="8"/>
  <c r="T143" i="8" s="1"/>
  <c r="S107" i="8"/>
  <c r="S71" i="8"/>
  <c r="S35" i="8"/>
  <c r="S244" i="8"/>
  <c r="S208" i="8"/>
  <c r="S172" i="8"/>
  <c r="S136" i="8"/>
  <c r="S100" i="8"/>
  <c r="S64" i="8"/>
  <c r="S28" i="8"/>
  <c r="S8" i="8"/>
  <c r="S67" i="8"/>
  <c r="S139" i="8"/>
  <c r="S211" i="8"/>
  <c r="S92" i="8"/>
  <c r="S164" i="8"/>
  <c r="S236" i="8"/>
  <c r="S19" i="8"/>
  <c r="S96" i="8"/>
  <c r="S168" i="8"/>
  <c r="S240" i="8"/>
  <c r="S85" i="8"/>
  <c r="S157" i="8"/>
  <c r="S229" i="8"/>
  <c r="S198" i="8"/>
  <c r="S207" i="8"/>
  <c r="S63" i="8"/>
  <c r="S201" i="8"/>
  <c r="S25" i="8"/>
  <c r="S90" i="8"/>
  <c r="S162" i="8"/>
  <c r="S234" i="8"/>
  <c r="S238" i="8"/>
  <c r="S202" i="8"/>
  <c r="T202" i="8" s="1"/>
  <c r="S166" i="8"/>
  <c r="S130" i="8"/>
  <c r="S94" i="8"/>
  <c r="S58" i="8"/>
  <c r="S22" i="8"/>
  <c r="S6" i="8"/>
  <c r="S79" i="8"/>
  <c r="S151" i="8"/>
  <c r="S223" i="8"/>
  <c r="S32" i="8"/>
  <c r="S104" i="8"/>
  <c r="S176" i="8"/>
  <c r="S248" i="8"/>
  <c r="S36" i="8"/>
  <c r="S108" i="8"/>
  <c r="S180" i="8"/>
  <c r="S252" i="8"/>
  <c r="S20" i="8"/>
  <c r="S97" i="8"/>
  <c r="S169" i="8"/>
  <c r="S241" i="8"/>
  <c r="S13" i="8"/>
  <c r="R153" i="8"/>
  <c r="R47" i="8"/>
  <c r="R11" i="8"/>
  <c r="T11" i="8" s="1"/>
  <c r="R20" i="8"/>
  <c r="R90" i="8"/>
  <c r="R144" i="8"/>
  <c r="T144" i="8" s="1"/>
  <c r="R196" i="8"/>
  <c r="T196" i="8" s="1"/>
  <c r="R236" i="8"/>
  <c r="R91" i="8"/>
  <c r="R204" i="8"/>
  <c r="T204" i="8" s="1"/>
  <c r="R12" i="8"/>
  <c r="T12" i="8" s="1"/>
  <c r="R119" i="8"/>
  <c r="T119" i="8" s="1"/>
  <c r="R211" i="8"/>
  <c r="R128" i="8"/>
  <c r="R182" i="8"/>
  <c r="R226" i="8"/>
  <c r="R138" i="8"/>
  <c r="T138" i="8" s="1"/>
  <c r="R140" i="8"/>
  <c r="R234" i="8"/>
  <c r="R7" i="8"/>
  <c r="T7" i="8" s="1"/>
  <c r="R79" i="8"/>
  <c r="T79" i="8" s="1"/>
  <c r="R133" i="8"/>
  <c r="R187" i="8"/>
  <c r="R229" i="8"/>
  <c r="T229" i="8" s="1"/>
  <c r="R177" i="8"/>
  <c r="T177" i="8" s="1"/>
  <c r="R141" i="8"/>
  <c r="T141" i="8" s="1"/>
  <c r="R105" i="8"/>
  <c r="T105" i="8" s="1"/>
  <c r="R33" i="8"/>
  <c r="T33" i="8" s="1"/>
  <c r="R184" i="8"/>
  <c r="T184" i="8" s="1"/>
  <c r="R148" i="8"/>
  <c r="T148" i="8" s="1"/>
  <c r="R112" i="8"/>
  <c r="R76" i="8"/>
  <c r="R40" i="8"/>
  <c r="R44" i="8"/>
  <c r="T44" i="8" s="1"/>
  <c r="R108" i="8"/>
  <c r="T108" i="8" s="1"/>
  <c r="R162" i="8"/>
  <c r="R210" i="8"/>
  <c r="T210" i="8" s="1"/>
  <c r="R248" i="8"/>
  <c r="R237" i="8"/>
  <c r="T237" i="8" s="1"/>
  <c r="R36" i="8"/>
  <c r="T36" i="8" s="1"/>
  <c r="R155" i="8"/>
  <c r="T155" i="8" s="1"/>
  <c r="R25" i="8"/>
  <c r="R92" i="8"/>
  <c r="T92" i="8" s="1"/>
  <c r="R146" i="8"/>
  <c r="T146" i="8" s="1"/>
  <c r="R238" i="8"/>
  <c r="R96" i="8"/>
  <c r="R150" i="8"/>
  <c r="T150" i="8" s="1"/>
  <c r="R200" i="8"/>
  <c r="R240" i="8"/>
  <c r="T240" i="8" s="1"/>
  <c r="R19" i="8"/>
  <c r="R194" i="8"/>
  <c r="R235" i="8"/>
  <c r="R207" i="8"/>
  <c r="R99" i="8"/>
  <c r="T99" i="8" s="1"/>
  <c r="R63" i="8"/>
  <c r="T63" i="8" s="1"/>
  <c r="R27" i="8"/>
  <c r="T27" i="8" s="1"/>
  <c r="R178" i="8"/>
  <c r="R142" i="8"/>
  <c r="R106" i="8"/>
  <c r="R70" i="8"/>
  <c r="T70" i="8" s="1"/>
  <c r="R34" i="8"/>
  <c r="T34" i="8" s="1"/>
  <c r="R56" i="8"/>
  <c r="T56" i="8" s="1"/>
  <c r="R116" i="8"/>
  <c r="T116" i="8" s="1"/>
  <c r="R170" i="8"/>
  <c r="T170" i="8" s="1"/>
  <c r="R217" i="8"/>
  <c r="R254" i="8"/>
  <c r="R145" i="8"/>
  <c r="R249" i="8"/>
  <c r="T249" i="8" s="1"/>
  <c r="R60" i="8"/>
  <c r="R163" i="8"/>
  <c r="R243" i="8"/>
  <c r="R37" i="8"/>
  <c r="T37" i="8" s="1"/>
  <c r="R156" i="8"/>
  <c r="T156" i="8" s="1"/>
  <c r="R205" i="8"/>
  <c r="R244" i="8"/>
  <c r="R86" i="8"/>
  <c r="T86" i="8" s="1"/>
  <c r="R42" i="8"/>
  <c r="T42" i="8" s="1"/>
  <c r="R104" i="8"/>
  <c r="R158" i="8"/>
  <c r="T158" i="8" s="1"/>
  <c r="R246" i="8"/>
  <c r="T246" i="8" s="1"/>
  <c r="R31" i="8"/>
  <c r="R97" i="8"/>
  <c r="R151" i="8"/>
  <c r="T151" i="8" s="1"/>
  <c r="R241" i="8"/>
  <c r="R201" i="8"/>
  <c r="T201" i="8" s="1"/>
  <c r="R172" i="8"/>
  <c r="R136" i="8"/>
  <c r="R100" i="8"/>
  <c r="R64" i="8"/>
  <c r="R28" i="8"/>
  <c r="T28" i="8" s="1"/>
  <c r="R68" i="8"/>
  <c r="R126" i="8"/>
  <c r="T126" i="8" s="1"/>
  <c r="R180" i="8"/>
  <c r="R224" i="8"/>
  <c r="R48" i="8"/>
  <c r="T48" i="8" s="1"/>
  <c r="R173" i="8"/>
  <c r="T173" i="8" s="1"/>
  <c r="R83" i="8"/>
  <c r="R181" i="8"/>
  <c r="T181" i="8" s="1"/>
  <c r="R49" i="8"/>
  <c r="R110" i="8"/>
  <c r="T110" i="8" s="1"/>
  <c r="R164" i="8"/>
  <c r="T164" i="8" s="1"/>
  <c r="R212" i="8"/>
  <c r="T212" i="8" s="1"/>
  <c r="R250" i="8"/>
  <c r="T250" i="8" s="1"/>
  <c r="R193" i="8"/>
  <c r="R114" i="8"/>
  <c r="T114" i="8" s="1"/>
  <c r="R168" i="8"/>
  <c r="R215" i="8"/>
  <c r="T215" i="8" s="1"/>
  <c r="R252" i="8"/>
  <c r="R43" i="8"/>
  <c r="T43" i="8" s="1"/>
  <c r="R161" i="8"/>
  <c r="T161" i="8" s="1"/>
  <c r="R209" i="8"/>
  <c r="T209" i="8" s="1"/>
  <c r="R247" i="8"/>
  <c r="T247" i="8" s="1"/>
  <c r="R195" i="8"/>
  <c r="T195" i="8" s="1"/>
  <c r="R159" i="8"/>
  <c r="T159" i="8" s="1"/>
  <c r="R123" i="8"/>
  <c r="T123" i="8" s="1"/>
  <c r="R87" i="8"/>
  <c r="T87" i="8" s="1"/>
  <c r="R51" i="8"/>
  <c r="R15" i="8"/>
  <c r="T15" i="8" s="1"/>
  <c r="R53" i="8"/>
  <c r="T53" i="8" s="1"/>
  <c r="R17" i="8"/>
  <c r="T17" i="8" s="1"/>
  <c r="R166" i="8"/>
  <c r="T166" i="8" s="1"/>
  <c r="R130" i="8"/>
  <c r="R94" i="8"/>
  <c r="R58" i="8"/>
  <c r="R22" i="8"/>
  <c r="R80" i="8"/>
  <c r="T80" i="8" s="1"/>
  <c r="R134" i="8"/>
  <c r="T134" i="8" s="1"/>
  <c r="R188" i="8"/>
  <c r="T188" i="8" s="1"/>
  <c r="R230" i="8"/>
  <c r="T230" i="8" s="1"/>
  <c r="R72" i="8"/>
  <c r="R190" i="8"/>
  <c r="T190" i="8" s="1"/>
  <c r="R101" i="8"/>
  <c r="T101" i="8" s="1"/>
  <c r="R197" i="8"/>
  <c r="T197" i="8" s="1"/>
  <c r="R61" i="8"/>
  <c r="T61" i="8" s="1"/>
  <c r="R120" i="8"/>
  <c r="R174" i="8"/>
  <c r="T174" i="8" s="1"/>
  <c r="R220" i="8"/>
  <c r="T220" i="8" s="1"/>
  <c r="R8" i="8"/>
  <c r="T8" i="8" s="1"/>
  <c r="T89" i="8" l="1"/>
  <c r="B14" i="9"/>
  <c r="T163" i="8"/>
  <c r="T58" i="8"/>
  <c r="T168" i="8"/>
  <c r="T100" i="8"/>
  <c r="T142" i="8"/>
  <c r="T152" i="8"/>
  <c r="B10" i="9"/>
  <c r="I4" i="9" s="1"/>
  <c r="T120" i="8"/>
  <c r="T49" i="8"/>
  <c r="T244" i="8"/>
  <c r="T60" i="8"/>
  <c r="T178" i="8"/>
  <c r="T194" i="8"/>
  <c r="T40" i="8"/>
  <c r="T182" i="8"/>
  <c r="T24" i="8"/>
  <c r="T128" i="8"/>
  <c r="T83" i="8"/>
  <c r="T68" i="8"/>
  <c r="T145" i="8"/>
  <c r="T112" i="8"/>
  <c r="T211" i="8"/>
  <c r="T153" i="8"/>
  <c r="T252" i="8"/>
  <c r="T241" i="8"/>
  <c r="T104" i="8"/>
  <c r="T254" i="8"/>
  <c r="T200" i="8"/>
  <c r="T25" i="8"/>
  <c r="T162" i="8"/>
  <c r="T140" i="8"/>
  <c r="T75" i="8"/>
  <c r="T22" i="8"/>
  <c r="T64" i="8"/>
  <c r="T106" i="8"/>
  <c r="T243" i="8"/>
  <c r="T217" i="8"/>
  <c r="T72" i="8"/>
  <c r="T224" i="8"/>
  <c r="T97" i="8"/>
  <c r="T235" i="8"/>
  <c r="T96" i="8"/>
  <c r="T133" i="8"/>
  <c r="T226" i="8"/>
  <c r="T31" i="8"/>
  <c r="T193" i="8"/>
  <c r="T76" i="8"/>
  <c r="T57" i="8"/>
  <c r="T20" i="8"/>
  <c r="T171" i="8"/>
  <c r="T94" i="8"/>
  <c r="T51" i="8"/>
  <c r="T180" i="8"/>
  <c r="T136" i="8"/>
  <c r="T238" i="8"/>
  <c r="T91" i="8"/>
  <c r="T113" i="8"/>
  <c r="T234" i="8"/>
  <c r="T10" i="8"/>
  <c r="T130" i="8"/>
  <c r="T172" i="8"/>
  <c r="T205" i="8"/>
  <c r="T19" i="8"/>
  <c r="T248" i="8"/>
  <c r="T236" i="8"/>
  <c r="T47" i="8"/>
  <c r="T214" i="8"/>
  <c r="T198" i="8"/>
  <c r="T32" i="8"/>
  <c r="T41" i="8"/>
  <c r="T102" i="8"/>
  <c r="T71" i="8"/>
  <c r="T77" i="8"/>
  <c r="T122" i="8"/>
  <c r="T251" i="8"/>
  <c r="T52" i="8"/>
  <c r="T189" i="8"/>
  <c r="T26" i="8"/>
  <c r="T85" i="8"/>
  <c r="T67" i="8"/>
  <c r="T232" i="8"/>
  <c r="T109" i="8"/>
  <c r="T39" i="8"/>
  <c r="T111" i="8"/>
  <c r="T66" i="8"/>
  <c r="T50" i="8"/>
  <c r="T29" i="8"/>
  <c r="T88" i="8"/>
  <c r="T78" i="8"/>
  <c r="T191" i="8"/>
  <c r="T30" i="8"/>
  <c r="T219" i="8"/>
  <c r="T185" i="8"/>
  <c r="T169" i="8"/>
  <c r="T65" i="8"/>
  <c r="T124" i="8"/>
  <c r="T6" i="8"/>
  <c r="T84" i="8"/>
  <c r="T207" i="8"/>
  <c r="T187" i="8"/>
  <c r="T90" i="8"/>
  <c r="T13" i="8"/>
  <c r="T183" i="8"/>
  <c r="T216" i="8"/>
  <c r="T231" i="8"/>
  <c r="T179" i="8"/>
  <c r="T115" i="8"/>
  <c r="T55" i="8"/>
  <c r="T135" i="8"/>
  <c r="T157" i="8"/>
  <c r="T160" i="8"/>
  <c r="T233" i="8"/>
  <c r="T225" i="8"/>
  <c r="T129" i="8"/>
  <c r="T223" i="8"/>
  <c r="T228" i="8"/>
  <c r="T4" i="8"/>
  <c r="T127" i="8"/>
  <c r="T222" i="8"/>
  <c r="T253" i="8"/>
  <c r="T73" i="8"/>
  <c r="T81" i="8"/>
  <c r="T38" i="8"/>
  <c r="T192" i="8"/>
  <c r="T208" i="8"/>
  <c r="T35" i="8"/>
  <c r="T5" i="8"/>
  <c r="T176" i="8"/>
  <c r="T107" i="8"/>
  <c r="T103" i="8"/>
  <c r="T149" i="8"/>
  <c r="T16" i="8"/>
  <c r="T117" i="8"/>
  <c r="T139" i="8"/>
  <c r="T45" i="8"/>
  <c r="B17" i="9"/>
  <c r="E13" i="9" s="1"/>
  <c r="B11" i="9"/>
  <c r="B15" i="9"/>
  <c r="E12" i="9" l="1"/>
  <c r="B19" i="9"/>
  <c r="B20" i="9" s="1"/>
  <c r="I7" i="9" s="1"/>
  <c r="L1" i="9" s="1"/>
  <c r="X6" i="8"/>
  <c r="X7" i="8"/>
  <c r="X5" i="8"/>
</calcChain>
</file>

<file path=xl/sharedStrings.xml><?xml version="1.0" encoding="utf-8"?>
<sst xmlns="http://schemas.openxmlformats.org/spreadsheetml/2006/main" count="53" uniqueCount="35">
  <si>
    <t>Stock</t>
  </si>
  <si>
    <t>Confidence level</t>
  </si>
  <si>
    <t>Total investment</t>
  </si>
  <si>
    <t>Value at Risk</t>
  </si>
  <si>
    <t>SPY</t>
  </si>
  <si>
    <t>Asset 1</t>
  </si>
  <si>
    <t>Asset 2</t>
  </si>
  <si>
    <t>Portfolio Variance</t>
  </si>
  <si>
    <t>Portfolio STD</t>
  </si>
  <si>
    <t>Covariance</t>
  </si>
  <si>
    <t>Price 1</t>
  </si>
  <si>
    <t>Price 2</t>
  </si>
  <si>
    <t>Returns 1</t>
  </si>
  <si>
    <t>Returns 2</t>
  </si>
  <si>
    <t>Allocation</t>
  </si>
  <si>
    <t>Expected Returns</t>
  </si>
  <si>
    <t>Returns Standard Deviation</t>
  </si>
  <si>
    <t>Days</t>
  </si>
  <si>
    <t>Expected Return</t>
  </si>
  <si>
    <t>Z-Score</t>
  </si>
  <si>
    <t>Scenario VaR</t>
  </si>
  <si>
    <t>Simulation</t>
  </si>
  <si>
    <t>BND</t>
  </si>
  <si>
    <t>Profit/Loss</t>
  </si>
  <si>
    <t>Day</t>
  </si>
  <si>
    <t>A1 Expected Return</t>
  </si>
  <si>
    <t>A2 Expected Return</t>
  </si>
  <si>
    <t>Calculating Value-at-Risk using Monte Carlo Simulation</t>
  </si>
  <si>
    <t>From data</t>
  </si>
  <si>
    <t>Date</t>
  </si>
  <si>
    <t>open</t>
  </si>
  <si>
    <t>high</t>
  </si>
  <si>
    <t>low</t>
  </si>
  <si>
    <t>close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</si>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</sst>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₱&quot;* #,##0.00_-;\-&quot;₱&quot;* #,##0.00_-;_-&quot;₱&quot;* &quot;-&quot;??_-;_-@_-"/>
    <numFmt numFmtId="164" formatCode="_-[$$-409]* #,##0.00_ ;_-[$$-409]* \-#,##0.00\ ;_-[$$-409]* &quot;-&quot;??_ ;_-@_ "/>
    <numFmt numFmtId="165" formatCode="0.000"/>
    <numFmt numFmtId="166" formatCode="0.00000"/>
    <numFmt numFmtId="167" formatCode="_-[$$-409]* #,##0.0_ ;_-[$$-409]* \-#,##0.0\ ;_-[$$-409]* &quot;-&quot;??_ ;_-@_ "/>
    <numFmt numFmtId="168" formatCode="0.000%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0" fillId="0" borderId="0" xfId="0" applyNumberFormat="1"/>
    <xf numFmtId="14" fontId="0" fillId="0" borderId="0" xfId="0" applyNumberFormat="1"/>
    <xf numFmtId="9" fontId="0" fillId="0" borderId="0" xfId="2" applyFont="1"/>
    <xf numFmtId="0" fontId="0" fillId="0" borderId="1" xfId="0" applyBorder="1"/>
    <xf numFmtId="10" fontId="0" fillId="0" borderId="1" xfId="2" applyNumberFormat="1" applyFont="1" applyBorder="1"/>
    <xf numFmtId="0" fontId="0" fillId="2" borderId="1" xfId="0" applyFill="1" applyBorder="1"/>
    <xf numFmtId="10" fontId="0" fillId="2" borderId="1" xfId="0" applyNumberForma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64" fontId="0" fillId="0" borderId="3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166" fontId="0" fillId="0" borderId="1" xfId="0" applyNumberFormat="1" applyBorder="1"/>
    <xf numFmtId="164" fontId="0" fillId="0" borderId="0" xfId="0" applyNumberFormat="1"/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/>
    <xf numFmtId="164" fontId="0" fillId="0" borderId="1" xfId="0" applyNumberFormat="1" applyBorder="1"/>
    <xf numFmtId="0" fontId="0" fillId="0" borderId="0" xfId="0" applyAlignment="1">
      <alignment horizontal="center" vertical="center"/>
    </xf>
    <xf numFmtId="164" fontId="2" fillId="0" borderId="1" xfId="0" applyNumberFormat="1" applyFont="1" applyBorder="1"/>
    <xf numFmtId="167" fontId="0" fillId="0" borderId="1" xfId="0" applyNumberFormat="1" applyBorder="1"/>
    <xf numFmtId="10" fontId="0" fillId="0" borderId="1" xfId="2" applyNumberFormat="1" applyFont="1" applyBorder="1" applyAlignment="1">
      <alignment horizontal="center"/>
    </xf>
    <xf numFmtId="168" fontId="0" fillId="0" borderId="1" xfId="2" applyNumberFormat="1" applyFont="1" applyBorder="1"/>
    <xf numFmtId="0" fontId="3" fillId="0" borderId="0" xfId="0" applyFont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Histogram</a:t>
          </a:r>
        </a:p>
      </cx:txPr>
    </cx:title>
    <cx:plotArea>
      <cx:plotAreaRegion>
        <cx:plotSurface>
          <cx:spPr>
            <a:ln>
              <a:solidFill>
                <a:schemeClr val="accent1">
                  <a:alpha val="94000"/>
                </a:schemeClr>
              </a:solidFill>
            </a:ln>
          </cx:spPr>
        </cx:plotSurface>
        <cx:series layoutId="clusteredColumn" uniqueId="{D91CA481-C16B-4793-8957-9C984CC2F2C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3</xdr:row>
      <xdr:rowOff>0</xdr:rowOff>
    </xdr:from>
    <xdr:to>
      <xdr:col>19</xdr:col>
      <xdr:colOff>608580</xdr:colOff>
      <xdr:row>26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44CC964-7563-4869-BB98-95051EB95F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548640"/>
              <a:ext cx="9744960" cy="4206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PH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160020</xdr:rowOff>
        </xdr:from>
        <xdr:to>
          <xdr:col>2</xdr:col>
          <xdr:colOff>944880</xdr:colOff>
          <xdr:row>16</xdr:row>
          <xdr:rowOff>7620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5E44B-749E-44AF-849F-C7A6EB305803}">
  <we:reference id="wa200001365" version="2.5.0.0" store="en-US" storeType="OMEX"/>
  <we:alternateReferences>
    <we:reference id="wa200001365" version="2.5.0.0" store="wa20000136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0252-6DCA-4545-99D0-CC2F2015563B}">
  <sheetPr codeName="Sheet1"/>
  <dimension ref="B1:T13"/>
  <sheetViews>
    <sheetView zoomScale="85" zoomScaleNormal="85" workbookViewId="0">
      <selection activeCell="B20" sqref="B20"/>
    </sheetView>
  </sheetViews>
  <sheetFormatPr defaultRowHeight="14.4" x14ac:dyDescent="0.3"/>
  <cols>
    <col min="2" max="3" width="14.109375" customWidth="1"/>
  </cols>
  <sheetData>
    <row r="1" spans="2:20" x14ac:dyDescent="0.3">
      <c r="B1" s="23" t="s">
        <v>27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</row>
    <row r="2" spans="2:20" x14ac:dyDescent="0.3"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</row>
    <row r="4" spans="2:20" x14ac:dyDescent="0.3">
      <c r="B4" s="12" t="s">
        <v>2</v>
      </c>
      <c r="C4" s="11">
        <v>100000</v>
      </c>
    </row>
    <row r="6" spans="2:20" x14ac:dyDescent="0.3">
      <c r="B6" s="9" t="s">
        <v>0</v>
      </c>
      <c r="C6" s="9" t="s">
        <v>14</v>
      </c>
    </row>
    <row r="7" spans="2:20" x14ac:dyDescent="0.3">
      <c r="B7" s="9" t="s">
        <v>4</v>
      </c>
      <c r="C7" s="10">
        <v>0.4</v>
      </c>
    </row>
    <row r="8" spans="2:20" x14ac:dyDescent="0.3">
      <c r="B8" s="9" t="s">
        <v>22</v>
      </c>
      <c r="C8" s="10">
        <v>0.6</v>
      </c>
    </row>
    <row r="10" spans="2:20" x14ac:dyDescent="0.3">
      <c r="B10" s="8" t="s">
        <v>1</v>
      </c>
      <c r="C10" s="8" t="s">
        <v>3</v>
      </c>
    </row>
    <row r="11" spans="2:20" x14ac:dyDescent="0.3">
      <c r="B11" s="8">
        <v>0.9</v>
      </c>
      <c r="C11" s="15">
        <f>simulation!F4</f>
        <v>-4914.5870629332403</v>
      </c>
    </row>
    <row r="12" spans="2:20" x14ac:dyDescent="0.3">
      <c r="B12" s="8">
        <v>0.95</v>
      </c>
      <c r="C12" s="15">
        <f>simulation!F5</f>
        <v>-6143.3519656692351</v>
      </c>
    </row>
    <row r="13" spans="2:20" x14ac:dyDescent="0.3">
      <c r="B13" s="8">
        <v>0.99</v>
      </c>
      <c r="C13" s="15">
        <f>simulation!F6</f>
        <v>-8733.9718571607409</v>
      </c>
    </row>
  </sheetData>
  <mergeCells count="1">
    <mergeCell ref="B1:T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38100</xdr:colOff>
                <xdr:row>13</xdr:row>
                <xdr:rowOff>160020</xdr:rowOff>
              </from>
              <to>
                <xdr:col>2</xdr:col>
                <xdr:colOff>944880</xdr:colOff>
                <xdr:row>16</xdr:row>
                <xdr:rowOff>7620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7CB34-8096-43B3-B92B-D1B80D2BFD74}">
  <sheetPr codeName="Sheet2"/>
  <dimension ref="A1:L1001"/>
  <sheetViews>
    <sheetView workbookViewId="0">
      <selection activeCell="E15" sqref="E15"/>
    </sheetView>
  </sheetViews>
  <sheetFormatPr defaultRowHeight="14.4" x14ac:dyDescent="0.3"/>
  <cols>
    <col min="1" max="1" width="27.33203125" customWidth="1"/>
    <col min="2" max="2" width="26.21875" customWidth="1"/>
    <col min="3" max="3" width="8.88671875" customWidth="1"/>
    <col min="5" max="5" width="26.109375" customWidth="1"/>
    <col min="6" max="6" width="32.5546875" customWidth="1"/>
    <col min="8" max="8" width="16.5546875" customWidth="1"/>
    <col min="9" max="9" width="17.44140625" customWidth="1"/>
    <col min="10" max="10" width="38.88671875" customWidth="1"/>
    <col min="11" max="11" width="13.33203125" customWidth="1"/>
    <col min="12" max="12" width="18.5546875" style="14" customWidth="1"/>
  </cols>
  <sheetData>
    <row r="1" spans="1:12" x14ac:dyDescent="0.3">
      <c r="A1" s="12" t="s">
        <v>2</v>
      </c>
      <c r="B1" s="11">
        <v>100000</v>
      </c>
      <c r="E1" s="18"/>
      <c r="F1" s="18"/>
      <c r="K1" s="4" t="s">
        <v>21</v>
      </c>
      <c r="L1" s="19">
        <f ca="1">I7</f>
        <v>566.0361707769946</v>
      </c>
    </row>
    <row r="2" spans="1:12" x14ac:dyDescent="0.3">
      <c r="K2" s="4">
        <v>1</v>
      </c>
      <c r="L2" s="17">
        <f t="dataTable" ref="L2:L1001" dt2D="0" dtr="0" r1="M2" ca="1"/>
        <v>-2881.1386178101188</v>
      </c>
    </row>
    <row r="3" spans="1:12" x14ac:dyDescent="0.3">
      <c r="A3" s="9" t="s">
        <v>0</v>
      </c>
      <c r="B3" s="9" t="s">
        <v>14</v>
      </c>
      <c r="E3" s="8" t="s">
        <v>1</v>
      </c>
      <c r="F3" s="8" t="s">
        <v>3</v>
      </c>
      <c r="H3" s="4" t="s">
        <v>17</v>
      </c>
      <c r="I3" s="4">
        <v>20</v>
      </c>
      <c r="K3" s="4">
        <v>2</v>
      </c>
      <c r="L3" s="17">
        <v>1527.018917771207</v>
      </c>
    </row>
    <row r="4" spans="1:12" x14ac:dyDescent="0.3">
      <c r="A4" s="9" t="s">
        <v>4</v>
      </c>
      <c r="B4" s="10">
        <v>0.6</v>
      </c>
      <c r="E4" s="8">
        <v>0.9</v>
      </c>
      <c r="F4" s="15">
        <f>_xlfn.PERCENTILE.INC($L$2:$L$1001,1-E4)</f>
        <v>-4914.5870629332403</v>
      </c>
      <c r="H4" s="4" t="s">
        <v>18</v>
      </c>
      <c r="I4" s="20">
        <f>(B1*((B10*B4)+(B14*B5)))*(I3/252)</f>
        <v>-428.44924533861246</v>
      </c>
      <c r="K4" s="4">
        <v>3</v>
      </c>
      <c r="L4" s="17">
        <v>4289.3224916233203</v>
      </c>
    </row>
    <row r="5" spans="1:12" x14ac:dyDescent="0.3">
      <c r="A5" s="9" t="s">
        <v>22</v>
      </c>
      <c r="B5" s="10">
        <v>0.4</v>
      </c>
      <c r="E5" s="8">
        <v>0.95</v>
      </c>
      <c r="F5" s="15">
        <f t="shared" ref="F5:F6" si="0">_xlfn.PERCENTILE.INC($L$2:$L$1001,1-E5)</f>
        <v>-6143.3519656692351</v>
      </c>
      <c r="H5" s="4" t="s">
        <v>19</v>
      </c>
      <c r="I5" s="16">
        <f ca="1">_xlfn.NORM.S.INV(RAND())</f>
        <v>-0.28259070287747629</v>
      </c>
      <c r="K5" s="4">
        <v>4</v>
      </c>
      <c r="L5" s="17">
        <v>2918.229954614726</v>
      </c>
    </row>
    <row r="6" spans="1:12" x14ac:dyDescent="0.3">
      <c r="E6" s="8">
        <v>0.99</v>
      </c>
      <c r="F6" s="15">
        <f t="shared" si="0"/>
        <v>-8733.9718571607409</v>
      </c>
      <c r="K6" s="4">
        <v>5</v>
      </c>
      <c r="L6" s="17">
        <v>2197.7575530507797</v>
      </c>
    </row>
    <row r="7" spans="1:12" x14ac:dyDescent="0.3">
      <c r="H7" s="4" t="s">
        <v>20</v>
      </c>
      <c r="I7" s="17">
        <f ca="1">I4-(B1*B20*I5*(I3/252)^0.5)</f>
        <v>566.0361707769946</v>
      </c>
      <c r="K7" s="4">
        <v>6</v>
      </c>
      <c r="L7" s="17">
        <v>-1480.4600461362033</v>
      </c>
    </row>
    <row r="8" spans="1:12" x14ac:dyDescent="0.3">
      <c r="K8" s="4">
        <v>7</v>
      </c>
      <c r="L8" s="17">
        <v>423.23627720694816</v>
      </c>
    </row>
    <row r="9" spans="1:12" x14ac:dyDescent="0.3">
      <c r="A9" s="6" t="s">
        <v>5</v>
      </c>
      <c r="B9" s="7" t="str">
        <f>A4</f>
        <v>SPY</v>
      </c>
      <c r="K9" s="4">
        <v>8</v>
      </c>
      <c r="L9" s="17">
        <v>1197.9436904099819</v>
      </c>
    </row>
    <row r="10" spans="1:12" x14ac:dyDescent="0.3">
      <c r="A10" s="4" t="s">
        <v>15</v>
      </c>
      <c r="B10" s="22">
        <f>IF(B24="From data",AVERAGE(data!R4:R254)*252,B24)</f>
        <v>-8.4432039180559901E-2</v>
      </c>
      <c r="K10" s="4">
        <v>9</v>
      </c>
      <c r="L10" s="17">
        <v>4349.3675848452085</v>
      </c>
    </row>
    <row r="11" spans="1:12" x14ac:dyDescent="0.3">
      <c r="A11" s="4" t="s">
        <v>16</v>
      </c>
      <c r="B11" s="5">
        <f>_xlfn.STDEV.S(data!R4:R254)*(252^0.5)</f>
        <v>0.20175670052443817</v>
      </c>
      <c r="K11" s="4">
        <v>10</v>
      </c>
      <c r="L11" s="17">
        <v>5021.5218662710904</v>
      </c>
    </row>
    <row r="12" spans="1:12" x14ac:dyDescent="0.3">
      <c r="B12" s="1"/>
      <c r="E12">
        <f>B4^2*B11^2+B5^2*B15^2</f>
        <v>1.5118417520303584E-2</v>
      </c>
      <c r="K12" s="4">
        <v>11</v>
      </c>
      <c r="L12" s="17">
        <v>3905.6151728586678</v>
      </c>
    </row>
    <row r="13" spans="1:12" x14ac:dyDescent="0.3">
      <c r="A13" s="6" t="s">
        <v>6</v>
      </c>
      <c r="B13" s="7" t="str">
        <f>A5</f>
        <v>BND</v>
      </c>
      <c r="E13">
        <f>2*B4*B5*B17</f>
        <v>4.8614664065891835E-4</v>
      </c>
      <c r="K13" s="4">
        <v>12</v>
      </c>
      <c r="L13" s="17">
        <v>-2656.9466349018408</v>
      </c>
    </row>
    <row r="14" spans="1:12" x14ac:dyDescent="0.3">
      <c r="A14" s="4" t="s">
        <v>15</v>
      </c>
      <c r="B14" s="22">
        <f>IF(B25="From data",AVERAGE(data!S4:S254)*252,B25)</f>
        <v>-8.3134535108230889E-3</v>
      </c>
      <c r="K14" s="4">
        <v>13</v>
      </c>
      <c r="L14" s="17">
        <v>2365.0933528438986</v>
      </c>
    </row>
    <row r="15" spans="1:12" x14ac:dyDescent="0.3">
      <c r="A15" s="4" t="s">
        <v>16</v>
      </c>
      <c r="B15" s="5">
        <f>_xlfn.STDEV.S(data!S4:S254)*(252^0.5)</f>
        <v>5.3871472388034684E-2</v>
      </c>
      <c r="K15" s="4">
        <v>14</v>
      </c>
      <c r="L15" s="17">
        <v>-1772.7915837640437</v>
      </c>
    </row>
    <row r="16" spans="1:12" x14ac:dyDescent="0.3">
      <c r="K16" s="4">
        <v>15</v>
      </c>
      <c r="L16" s="17">
        <v>-3716.4908236370843</v>
      </c>
    </row>
    <row r="17" spans="1:12" x14ac:dyDescent="0.3">
      <c r="A17" s="4" t="s">
        <v>9</v>
      </c>
      <c r="B17" s="5">
        <f>_xlfn.COVARIANCE.S(data!R4:R254,data!S4:S254)*252</f>
        <v>1.0128055013727466E-3</v>
      </c>
      <c r="K17" s="4">
        <v>16</v>
      </c>
      <c r="L17" s="17">
        <v>3156.235352356467</v>
      </c>
    </row>
    <row r="18" spans="1:12" x14ac:dyDescent="0.3">
      <c r="K18" s="4">
        <v>17</v>
      </c>
      <c r="L18" s="17">
        <v>-2935.6180428233497</v>
      </c>
    </row>
    <row r="19" spans="1:12" x14ac:dyDescent="0.3">
      <c r="A19" s="4" t="s">
        <v>7</v>
      </c>
      <c r="B19" s="13">
        <f>B4^2*B11^2 + B5^2*B15^2 + 2*B4*B5*B17</f>
        <v>1.5604564160962502E-2</v>
      </c>
      <c r="K19" s="4">
        <v>18</v>
      </c>
      <c r="L19" s="17">
        <v>-3157.3539976046927</v>
      </c>
    </row>
    <row r="20" spans="1:12" x14ac:dyDescent="0.3">
      <c r="A20" s="4" t="s">
        <v>8</v>
      </c>
      <c r="B20" s="13">
        <f>B19^0.5</f>
        <v>0.12491822989845197</v>
      </c>
      <c r="K20" s="4">
        <v>19</v>
      </c>
      <c r="L20" s="17">
        <v>-572.48526179331554</v>
      </c>
    </row>
    <row r="21" spans="1:12" x14ac:dyDescent="0.3">
      <c r="K21" s="4">
        <v>20</v>
      </c>
      <c r="L21" s="17">
        <v>2869.2085373022555</v>
      </c>
    </row>
    <row r="22" spans="1:12" x14ac:dyDescent="0.3">
      <c r="K22" s="4">
        <v>21</v>
      </c>
      <c r="L22" s="17">
        <v>-4697.3080596196642</v>
      </c>
    </row>
    <row r="23" spans="1:12" x14ac:dyDescent="0.3">
      <c r="K23" s="4">
        <v>22</v>
      </c>
      <c r="L23" s="17">
        <v>-1358.7019859305467</v>
      </c>
    </row>
    <row r="24" spans="1:12" x14ac:dyDescent="0.3">
      <c r="A24" t="s">
        <v>25</v>
      </c>
      <c r="B24" s="3" t="s">
        <v>28</v>
      </c>
      <c r="K24" s="4">
        <v>23</v>
      </c>
      <c r="L24" s="17">
        <v>3566.2577031592709</v>
      </c>
    </row>
    <row r="25" spans="1:12" x14ac:dyDescent="0.3">
      <c r="A25" t="s">
        <v>26</v>
      </c>
      <c r="B25" s="3" t="s">
        <v>28</v>
      </c>
      <c r="K25" s="4">
        <v>24</v>
      </c>
      <c r="L25" s="17">
        <v>-4911.6557427657663</v>
      </c>
    </row>
    <row r="26" spans="1:12" x14ac:dyDescent="0.3">
      <c r="K26" s="4">
        <v>25</v>
      </c>
      <c r="L26" s="17">
        <v>-458.58325501364038</v>
      </c>
    </row>
    <row r="27" spans="1:12" x14ac:dyDescent="0.3">
      <c r="K27" s="4">
        <v>26</v>
      </c>
      <c r="L27" s="17">
        <v>-3174.2828996744352</v>
      </c>
    </row>
    <row r="28" spans="1:12" x14ac:dyDescent="0.3">
      <c r="K28" s="4">
        <v>27</v>
      </c>
      <c r="L28" s="17">
        <v>-880.90684413627218</v>
      </c>
    </row>
    <row r="29" spans="1:12" x14ac:dyDescent="0.3">
      <c r="K29" s="4">
        <v>28</v>
      </c>
      <c r="L29" s="17">
        <v>-1817.1599467353487</v>
      </c>
    </row>
    <row r="30" spans="1:12" x14ac:dyDescent="0.3">
      <c r="K30" s="4">
        <v>29</v>
      </c>
      <c r="L30" s="17">
        <v>-3156.284290668787</v>
      </c>
    </row>
    <row r="31" spans="1:12" x14ac:dyDescent="0.3">
      <c r="K31" s="4">
        <v>30</v>
      </c>
      <c r="L31" s="17">
        <v>5703.6461958199397</v>
      </c>
    </row>
    <row r="32" spans="1:12" x14ac:dyDescent="0.3">
      <c r="K32" s="4">
        <v>31</v>
      </c>
      <c r="L32" s="17">
        <v>1443.5259370236492</v>
      </c>
    </row>
    <row r="33" spans="11:12" x14ac:dyDescent="0.3">
      <c r="K33" s="4">
        <v>32</v>
      </c>
      <c r="L33" s="17">
        <v>3958.8820003591113</v>
      </c>
    </row>
    <row r="34" spans="11:12" x14ac:dyDescent="0.3">
      <c r="K34" s="4">
        <v>33</v>
      </c>
      <c r="L34" s="17">
        <v>5469.9880490353298</v>
      </c>
    </row>
    <row r="35" spans="11:12" x14ac:dyDescent="0.3">
      <c r="K35" s="4">
        <v>34</v>
      </c>
      <c r="L35" s="17">
        <v>1428.4991446356485</v>
      </c>
    </row>
    <row r="36" spans="11:12" x14ac:dyDescent="0.3">
      <c r="K36" s="4">
        <v>35</v>
      </c>
      <c r="L36" s="17">
        <v>1262.2696997119222</v>
      </c>
    </row>
    <row r="37" spans="11:12" x14ac:dyDescent="0.3">
      <c r="K37" s="4">
        <v>36</v>
      </c>
      <c r="L37" s="17">
        <v>242.36103279548314</v>
      </c>
    </row>
    <row r="38" spans="11:12" x14ac:dyDescent="0.3">
      <c r="K38" s="4">
        <v>37</v>
      </c>
      <c r="L38" s="17">
        <v>5878.9389104274915</v>
      </c>
    </row>
    <row r="39" spans="11:12" x14ac:dyDescent="0.3">
      <c r="K39" s="4">
        <v>38</v>
      </c>
      <c r="L39" s="17">
        <v>1237.9770770873793</v>
      </c>
    </row>
    <row r="40" spans="11:12" x14ac:dyDescent="0.3">
      <c r="K40" s="4">
        <v>39</v>
      </c>
      <c r="L40" s="17">
        <v>-303.4410245938443</v>
      </c>
    </row>
    <row r="41" spans="11:12" x14ac:dyDescent="0.3">
      <c r="K41" s="4">
        <v>40</v>
      </c>
      <c r="L41" s="17">
        <v>-5469.4615598316659</v>
      </c>
    </row>
    <row r="42" spans="11:12" x14ac:dyDescent="0.3">
      <c r="K42" s="4">
        <v>41</v>
      </c>
      <c r="L42" s="17">
        <v>-4198.5156898423984</v>
      </c>
    </row>
    <row r="43" spans="11:12" x14ac:dyDescent="0.3">
      <c r="K43" s="4">
        <v>42</v>
      </c>
      <c r="L43" s="17">
        <v>381.29711004122481</v>
      </c>
    </row>
    <row r="44" spans="11:12" x14ac:dyDescent="0.3">
      <c r="K44" s="4">
        <v>43</v>
      </c>
      <c r="L44" s="17">
        <v>682.8780869068471</v>
      </c>
    </row>
    <row r="45" spans="11:12" x14ac:dyDescent="0.3">
      <c r="K45" s="4">
        <v>44</v>
      </c>
      <c r="L45" s="17">
        <v>1743.1245448478949</v>
      </c>
    </row>
    <row r="46" spans="11:12" x14ac:dyDescent="0.3">
      <c r="K46" s="4">
        <v>45</v>
      </c>
      <c r="L46" s="17">
        <v>1558.9512725200359</v>
      </c>
    </row>
    <row r="47" spans="11:12" x14ac:dyDescent="0.3">
      <c r="K47" s="4">
        <v>46</v>
      </c>
      <c r="L47" s="17">
        <v>-5167.7416997130231</v>
      </c>
    </row>
    <row r="48" spans="11:12" x14ac:dyDescent="0.3">
      <c r="K48" s="4">
        <v>47</v>
      </c>
      <c r="L48" s="17">
        <v>-2371.5863617298828</v>
      </c>
    </row>
    <row r="49" spans="11:12" x14ac:dyDescent="0.3">
      <c r="K49" s="4">
        <v>48</v>
      </c>
      <c r="L49" s="17">
        <v>1208.9504619208528</v>
      </c>
    </row>
    <row r="50" spans="11:12" x14ac:dyDescent="0.3">
      <c r="K50" s="4">
        <v>49</v>
      </c>
      <c r="L50" s="17">
        <v>-2684.4347296637038</v>
      </c>
    </row>
    <row r="51" spans="11:12" x14ac:dyDescent="0.3">
      <c r="K51" s="4">
        <v>50</v>
      </c>
      <c r="L51" s="17">
        <v>-3763.0795575462676</v>
      </c>
    </row>
    <row r="52" spans="11:12" x14ac:dyDescent="0.3">
      <c r="K52" s="4">
        <v>51</v>
      </c>
      <c r="L52" s="17">
        <v>-3656.228901946507</v>
      </c>
    </row>
    <row r="53" spans="11:12" x14ac:dyDescent="0.3">
      <c r="K53" s="4">
        <v>52</v>
      </c>
      <c r="L53" s="17">
        <v>-744.74563544897092</v>
      </c>
    </row>
    <row r="54" spans="11:12" x14ac:dyDescent="0.3">
      <c r="K54" s="4">
        <v>53</v>
      </c>
      <c r="L54" s="17">
        <v>113.86330013942296</v>
      </c>
    </row>
    <row r="55" spans="11:12" x14ac:dyDescent="0.3">
      <c r="K55" s="4">
        <v>54</v>
      </c>
      <c r="L55" s="17">
        <v>-1825.9704602437282</v>
      </c>
    </row>
    <row r="56" spans="11:12" x14ac:dyDescent="0.3">
      <c r="K56" s="4">
        <v>55</v>
      </c>
      <c r="L56" s="17">
        <v>705.11189605863706</v>
      </c>
    </row>
    <row r="57" spans="11:12" x14ac:dyDescent="0.3">
      <c r="K57" s="4">
        <v>56</v>
      </c>
      <c r="L57" s="17">
        <v>1514.3922058743456</v>
      </c>
    </row>
    <row r="58" spans="11:12" x14ac:dyDescent="0.3">
      <c r="K58" s="4">
        <v>57</v>
      </c>
      <c r="L58" s="17">
        <v>-1770.4776036382848</v>
      </c>
    </row>
    <row r="59" spans="11:12" x14ac:dyDescent="0.3">
      <c r="K59" s="4">
        <v>58</v>
      </c>
      <c r="L59" s="17">
        <v>2852.5123269029714</v>
      </c>
    </row>
    <row r="60" spans="11:12" x14ac:dyDescent="0.3">
      <c r="K60" s="4">
        <v>59</v>
      </c>
      <c r="L60" s="17">
        <v>-7256.7738110537894</v>
      </c>
    </row>
    <row r="61" spans="11:12" x14ac:dyDescent="0.3">
      <c r="K61" s="4">
        <v>60</v>
      </c>
      <c r="L61" s="17">
        <v>-6573.7639532854128</v>
      </c>
    </row>
    <row r="62" spans="11:12" x14ac:dyDescent="0.3">
      <c r="K62" s="4">
        <v>61</v>
      </c>
      <c r="L62" s="17">
        <v>6172.9665272203893</v>
      </c>
    </row>
    <row r="63" spans="11:12" x14ac:dyDescent="0.3">
      <c r="K63" s="4">
        <v>62</v>
      </c>
      <c r="L63" s="17">
        <v>-4231.0250405998431</v>
      </c>
    </row>
    <row r="64" spans="11:12" x14ac:dyDescent="0.3">
      <c r="K64" s="4">
        <v>63</v>
      </c>
      <c r="L64" s="17">
        <v>3233.0277203783621</v>
      </c>
    </row>
    <row r="65" spans="11:12" x14ac:dyDescent="0.3">
      <c r="K65" s="4">
        <v>64</v>
      </c>
      <c r="L65" s="17">
        <v>-4040.3950507704808</v>
      </c>
    </row>
    <row r="66" spans="11:12" x14ac:dyDescent="0.3">
      <c r="K66" s="4">
        <v>65</v>
      </c>
      <c r="L66" s="17">
        <v>115.12465625203203</v>
      </c>
    </row>
    <row r="67" spans="11:12" x14ac:dyDescent="0.3">
      <c r="K67" s="4">
        <v>66</v>
      </c>
      <c r="L67" s="17">
        <v>-3653.1305051860645</v>
      </c>
    </row>
    <row r="68" spans="11:12" x14ac:dyDescent="0.3">
      <c r="K68" s="4">
        <v>67</v>
      </c>
      <c r="L68" s="17">
        <v>-2757.5357106760312</v>
      </c>
    </row>
    <row r="69" spans="11:12" x14ac:dyDescent="0.3">
      <c r="K69" s="4">
        <v>68</v>
      </c>
      <c r="L69" s="17">
        <v>-2567.2675978876805</v>
      </c>
    </row>
    <row r="70" spans="11:12" x14ac:dyDescent="0.3">
      <c r="K70" s="4">
        <v>69</v>
      </c>
      <c r="L70" s="17">
        <v>3296.3079652686274</v>
      </c>
    </row>
    <row r="71" spans="11:12" x14ac:dyDescent="0.3">
      <c r="K71" s="4">
        <v>70</v>
      </c>
      <c r="L71" s="17">
        <v>1045.5356545604375</v>
      </c>
    </row>
    <row r="72" spans="11:12" x14ac:dyDescent="0.3">
      <c r="K72" s="4">
        <v>71</v>
      </c>
      <c r="L72" s="17">
        <v>-944.91855978703325</v>
      </c>
    </row>
    <row r="73" spans="11:12" x14ac:dyDescent="0.3">
      <c r="K73" s="4">
        <v>72</v>
      </c>
      <c r="L73" s="17">
        <v>3770.7976910996435</v>
      </c>
    </row>
    <row r="74" spans="11:12" x14ac:dyDescent="0.3">
      <c r="K74" s="4">
        <v>73</v>
      </c>
      <c r="L74" s="17">
        <v>5008.6576419548355</v>
      </c>
    </row>
    <row r="75" spans="11:12" x14ac:dyDescent="0.3">
      <c r="K75" s="4">
        <v>74</v>
      </c>
      <c r="L75" s="17">
        <v>-3369.1559266769295</v>
      </c>
    </row>
    <row r="76" spans="11:12" x14ac:dyDescent="0.3">
      <c r="K76" s="4">
        <v>75</v>
      </c>
      <c r="L76" s="17">
        <v>-7820.4953684768925</v>
      </c>
    </row>
    <row r="77" spans="11:12" x14ac:dyDescent="0.3">
      <c r="K77" s="4">
        <v>76</v>
      </c>
      <c r="L77" s="17">
        <v>3553.140668200796</v>
      </c>
    </row>
    <row r="78" spans="11:12" x14ac:dyDescent="0.3">
      <c r="K78" s="4">
        <v>77</v>
      </c>
      <c r="L78" s="17">
        <v>170.35729348958608</v>
      </c>
    </row>
    <row r="79" spans="11:12" x14ac:dyDescent="0.3">
      <c r="K79" s="4">
        <v>78</v>
      </c>
      <c r="L79" s="17">
        <v>-1356.6045586404207</v>
      </c>
    </row>
    <row r="80" spans="11:12" x14ac:dyDescent="0.3">
      <c r="K80" s="4">
        <v>79</v>
      </c>
      <c r="L80" s="17">
        <v>1613.1891960074724</v>
      </c>
    </row>
    <row r="81" spans="11:12" x14ac:dyDescent="0.3">
      <c r="K81" s="4">
        <v>80</v>
      </c>
      <c r="L81" s="17">
        <v>3035.1627490249098</v>
      </c>
    </row>
    <row r="82" spans="11:12" x14ac:dyDescent="0.3">
      <c r="K82" s="4">
        <v>81</v>
      </c>
      <c r="L82" s="17">
        <v>-4518.1786200621273</v>
      </c>
    </row>
    <row r="83" spans="11:12" x14ac:dyDescent="0.3">
      <c r="K83" s="4">
        <v>82</v>
      </c>
      <c r="L83" s="17">
        <v>5081.1482633616879</v>
      </c>
    </row>
    <row r="84" spans="11:12" x14ac:dyDescent="0.3">
      <c r="K84" s="4">
        <v>83</v>
      </c>
      <c r="L84" s="17">
        <v>-3068.0890789396235</v>
      </c>
    </row>
    <row r="85" spans="11:12" x14ac:dyDescent="0.3">
      <c r="K85" s="4">
        <v>84</v>
      </c>
      <c r="L85" s="17">
        <v>592.17205511882639</v>
      </c>
    </row>
    <row r="86" spans="11:12" x14ac:dyDescent="0.3">
      <c r="K86" s="4">
        <v>85</v>
      </c>
      <c r="L86" s="17">
        <v>-2031.046839473767</v>
      </c>
    </row>
    <row r="87" spans="11:12" x14ac:dyDescent="0.3">
      <c r="K87" s="4">
        <v>86</v>
      </c>
      <c r="L87" s="17">
        <v>-1919.5741867232484</v>
      </c>
    </row>
    <row r="88" spans="11:12" x14ac:dyDescent="0.3">
      <c r="K88" s="4">
        <v>87</v>
      </c>
      <c r="L88" s="17">
        <v>589.3276894062692</v>
      </c>
    </row>
    <row r="89" spans="11:12" x14ac:dyDescent="0.3">
      <c r="K89" s="4">
        <v>88</v>
      </c>
      <c r="L89" s="17">
        <v>-2749.1985128643141</v>
      </c>
    </row>
    <row r="90" spans="11:12" x14ac:dyDescent="0.3">
      <c r="K90" s="4">
        <v>89</v>
      </c>
      <c r="L90" s="17">
        <v>1132.7854276263263</v>
      </c>
    </row>
    <row r="91" spans="11:12" x14ac:dyDescent="0.3">
      <c r="K91" s="4">
        <v>90</v>
      </c>
      <c r="L91" s="17">
        <v>-3522.1419479979472</v>
      </c>
    </row>
    <row r="92" spans="11:12" x14ac:dyDescent="0.3">
      <c r="K92" s="4">
        <v>91</v>
      </c>
      <c r="L92" s="17">
        <v>3421.9061260104249</v>
      </c>
    </row>
    <row r="93" spans="11:12" x14ac:dyDescent="0.3">
      <c r="K93" s="4">
        <v>92</v>
      </c>
      <c r="L93" s="17">
        <v>-1644.8769421117504</v>
      </c>
    </row>
    <row r="94" spans="11:12" x14ac:dyDescent="0.3">
      <c r="K94" s="4">
        <v>93</v>
      </c>
      <c r="L94" s="17">
        <v>-5.2258297638912836</v>
      </c>
    </row>
    <row r="95" spans="11:12" x14ac:dyDescent="0.3">
      <c r="K95" s="4">
        <v>94</v>
      </c>
      <c r="L95" s="17">
        <v>-2075.9598003815622</v>
      </c>
    </row>
    <row r="96" spans="11:12" x14ac:dyDescent="0.3">
      <c r="K96" s="4">
        <v>95</v>
      </c>
      <c r="L96" s="17">
        <v>-2089.0671507351458</v>
      </c>
    </row>
    <row r="97" spans="11:12" x14ac:dyDescent="0.3">
      <c r="K97" s="4">
        <v>96</v>
      </c>
      <c r="L97" s="17">
        <v>-1860.9620822612335</v>
      </c>
    </row>
    <row r="98" spans="11:12" x14ac:dyDescent="0.3">
      <c r="K98" s="4">
        <v>97</v>
      </c>
      <c r="L98" s="17">
        <v>-3610.4958593469414</v>
      </c>
    </row>
    <row r="99" spans="11:12" x14ac:dyDescent="0.3">
      <c r="K99" s="4">
        <v>98</v>
      </c>
      <c r="L99" s="17">
        <v>2959.8122326543503</v>
      </c>
    </row>
    <row r="100" spans="11:12" x14ac:dyDescent="0.3">
      <c r="K100" s="4">
        <v>99</v>
      </c>
      <c r="L100" s="17">
        <v>948.65877651977803</v>
      </c>
    </row>
    <row r="101" spans="11:12" x14ac:dyDescent="0.3">
      <c r="K101" s="4">
        <v>100</v>
      </c>
      <c r="L101" s="17">
        <v>-7402.5983361575172</v>
      </c>
    </row>
    <row r="102" spans="11:12" x14ac:dyDescent="0.3">
      <c r="K102" s="4">
        <v>101</v>
      </c>
      <c r="L102" s="17">
        <v>-8576.9017011521446</v>
      </c>
    </row>
    <row r="103" spans="11:12" x14ac:dyDescent="0.3">
      <c r="K103" s="4">
        <v>102</v>
      </c>
      <c r="L103" s="17">
        <v>4584.2429563500582</v>
      </c>
    </row>
    <row r="104" spans="11:12" x14ac:dyDescent="0.3">
      <c r="K104" s="4">
        <v>103</v>
      </c>
      <c r="L104" s="17">
        <v>-3855.5993315223718</v>
      </c>
    </row>
    <row r="105" spans="11:12" x14ac:dyDescent="0.3">
      <c r="K105" s="4">
        <v>104</v>
      </c>
      <c r="L105" s="17">
        <v>2147.3957166432724</v>
      </c>
    </row>
    <row r="106" spans="11:12" x14ac:dyDescent="0.3">
      <c r="K106" s="4">
        <v>105</v>
      </c>
      <c r="L106" s="17">
        <v>-1160.4637891333509</v>
      </c>
    </row>
    <row r="107" spans="11:12" x14ac:dyDescent="0.3">
      <c r="K107" s="4">
        <v>106</v>
      </c>
      <c r="L107" s="17">
        <v>1780.3190981515472</v>
      </c>
    </row>
    <row r="108" spans="11:12" x14ac:dyDescent="0.3">
      <c r="K108" s="4">
        <v>107</v>
      </c>
      <c r="L108" s="17">
        <v>1715.8256939364487</v>
      </c>
    </row>
    <row r="109" spans="11:12" x14ac:dyDescent="0.3">
      <c r="K109" s="4">
        <v>108</v>
      </c>
      <c r="L109" s="17">
        <v>2029.5829197967423</v>
      </c>
    </row>
    <row r="110" spans="11:12" x14ac:dyDescent="0.3">
      <c r="K110" s="4">
        <v>109</v>
      </c>
      <c r="L110" s="17">
        <v>-719.54220098376959</v>
      </c>
    </row>
    <row r="111" spans="11:12" x14ac:dyDescent="0.3">
      <c r="K111" s="4">
        <v>110</v>
      </c>
      <c r="L111" s="17">
        <v>-5405.9008866596914</v>
      </c>
    </row>
    <row r="112" spans="11:12" x14ac:dyDescent="0.3">
      <c r="K112" s="4">
        <v>111</v>
      </c>
      <c r="L112" s="17">
        <v>-2103.6459091061874</v>
      </c>
    </row>
    <row r="113" spans="11:12" x14ac:dyDescent="0.3">
      <c r="K113" s="4">
        <v>112</v>
      </c>
      <c r="L113" s="17">
        <v>3601.7500213477315</v>
      </c>
    </row>
    <row r="114" spans="11:12" x14ac:dyDescent="0.3">
      <c r="K114" s="4">
        <v>113</v>
      </c>
      <c r="L114" s="17">
        <v>2026.8046853923006</v>
      </c>
    </row>
    <row r="115" spans="11:12" x14ac:dyDescent="0.3">
      <c r="K115" s="4">
        <v>114</v>
      </c>
      <c r="L115" s="17">
        <v>-867.91006945971208</v>
      </c>
    </row>
    <row r="116" spans="11:12" x14ac:dyDescent="0.3">
      <c r="K116" s="4">
        <v>115</v>
      </c>
      <c r="L116" s="17">
        <v>2117.5952195587879</v>
      </c>
    </row>
    <row r="117" spans="11:12" x14ac:dyDescent="0.3">
      <c r="K117" s="4">
        <v>116</v>
      </c>
      <c r="L117" s="17">
        <v>-3343.0563334960852</v>
      </c>
    </row>
    <row r="118" spans="11:12" x14ac:dyDescent="0.3">
      <c r="K118" s="4">
        <v>117</v>
      </c>
      <c r="L118" s="17">
        <v>-6708.2341585600379</v>
      </c>
    </row>
    <row r="119" spans="11:12" x14ac:dyDescent="0.3">
      <c r="K119" s="4">
        <v>118</v>
      </c>
      <c r="L119" s="17">
        <v>5410.020736335161</v>
      </c>
    </row>
    <row r="120" spans="11:12" x14ac:dyDescent="0.3">
      <c r="K120" s="4">
        <v>119</v>
      </c>
      <c r="L120" s="17">
        <v>1861.8074370096524</v>
      </c>
    </row>
    <row r="121" spans="11:12" x14ac:dyDescent="0.3">
      <c r="K121" s="4">
        <v>120</v>
      </c>
      <c r="L121" s="17">
        <v>-1270.6991160207331</v>
      </c>
    </row>
    <row r="122" spans="11:12" x14ac:dyDescent="0.3">
      <c r="K122" s="4">
        <v>121</v>
      </c>
      <c r="L122" s="17">
        <v>-1619.7338880335826</v>
      </c>
    </row>
    <row r="123" spans="11:12" x14ac:dyDescent="0.3">
      <c r="K123" s="4">
        <v>122</v>
      </c>
      <c r="L123" s="17">
        <v>-3728.776539110162</v>
      </c>
    </row>
    <row r="124" spans="11:12" x14ac:dyDescent="0.3">
      <c r="K124" s="4">
        <v>123</v>
      </c>
      <c r="L124" s="17">
        <v>-1158.6984883698144</v>
      </c>
    </row>
    <row r="125" spans="11:12" x14ac:dyDescent="0.3">
      <c r="K125" s="4">
        <v>124</v>
      </c>
      <c r="L125" s="17">
        <v>-613.61061904732014</v>
      </c>
    </row>
    <row r="126" spans="11:12" x14ac:dyDescent="0.3">
      <c r="K126" s="4">
        <v>125</v>
      </c>
      <c r="L126" s="17">
        <v>-2317.1396981223734</v>
      </c>
    </row>
    <row r="127" spans="11:12" x14ac:dyDescent="0.3">
      <c r="K127" s="4">
        <v>126</v>
      </c>
      <c r="L127" s="17">
        <v>-7744.1863694284648</v>
      </c>
    </row>
    <row r="128" spans="11:12" x14ac:dyDescent="0.3">
      <c r="K128" s="4">
        <v>127</v>
      </c>
      <c r="L128" s="17">
        <v>-2414.2915378022153</v>
      </c>
    </row>
    <row r="129" spans="11:12" x14ac:dyDescent="0.3">
      <c r="K129" s="4">
        <v>128</v>
      </c>
      <c r="L129" s="17">
        <v>-1083.6484263186135</v>
      </c>
    </row>
    <row r="130" spans="11:12" x14ac:dyDescent="0.3">
      <c r="K130" s="4">
        <v>129</v>
      </c>
      <c r="L130" s="17">
        <v>4006.2185969136231</v>
      </c>
    </row>
    <row r="131" spans="11:12" x14ac:dyDescent="0.3">
      <c r="K131" s="4">
        <v>130</v>
      </c>
      <c r="L131" s="17">
        <v>6546.2092317392335</v>
      </c>
    </row>
    <row r="132" spans="11:12" x14ac:dyDescent="0.3">
      <c r="K132" s="4">
        <v>131</v>
      </c>
      <c r="L132" s="17">
        <v>-6526.1648095262581</v>
      </c>
    </row>
    <row r="133" spans="11:12" x14ac:dyDescent="0.3">
      <c r="K133" s="4">
        <v>132</v>
      </c>
      <c r="L133" s="17">
        <v>-5517.2731902662208</v>
      </c>
    </row>
    <row r="134" spans="11:12" x14ac:dyDescent="0.3">
      <c r="K134" s="4">
        <v>133</v>
      </c>
      <c r="L134" s="17">
        <v>4339.9643095230922</v>
      </c>
    </row>
    <row r="135" spans="11:12" x14ac:dyDescent="0.3">
      <c r="K135" s="4">
        <v>134</v>
      </c>
      <c r="L135" s="17">
        <v>3848.7986950938898</v>
      </c>
    </row>
    <row r="136" spans="11:12" x14ac:dyDescent="0.3">
      <c r="K136" s="4">
        <v>135</v>
      </c>
      <c r="L136" s="17">
        <v>-1223.6139504380519</v>
      </c>
    </row>
    <row r="137" spans="11:12" x14ac:dyDescent="0.3">
      <c r="K137" s="4">
        <v>136</v>
      </c>
      <c r="L137" s="17">
        <v>-5384.5469296237134</v>
      </c>
    </row>
    <row r="138" spans="11:12" x14ac:dyDescent="0.3">
      <c r="K138" s="4">
        <v>137</v>
      </c>
      <c r="L138" s="17">
        <v>-4666.578047377383</v>
      </c>
    </row>
    <row r="139" spans="11:12" x14ac:dyDescent="0.3">
      <c r="K139" s="4">
        <v>138</v>
      </c>
      <c r="L139" s="17">
        <v>-1703.6443899326262</v>
      </c>
    </row>
    <row r="140" spans="11:12" x14ac:dyDescent="0.3">
      <c r="K140" s="4">
        <v>139</v>
      </c>
      <c r="L140" s="17">
        <v>-2179.7496859751427</v>
      </c>
    </row>
    <row r="141" spans="11:12" x14ac:dyDescent="0.3">
      <c r="K141" s="4">
        <v>140</v>
      </c>
      <c r="L141" s="17">
        <v>674.31703430351445</v>
      </c>
    </row>
    <row r="142" spans="11:12" x14ac:dyDescent="0.3">
      <c r="K142" s="4">
        <v>141</v>
      </c>
      <c r="L142" s="17">
        <v>-6378.9444581055131</v>
      </c>
    </row>
    <row r="143" spans="11:12" x14ac:dyDescent="0.3">
      <c r="K143" s="4">
        <v>142</v>
      </c>
      <c r="L143" s="17">
        <v>-5888.8576914644809</v>
      </c>
    </row>
    <row r="144" spans="11:12" x14ac:dyDescent="0.3">
      <c r="K144" s="4">
        <v>143</v>
      </c>
      <c r="L144" s="17">
        <v>4298.1370766738237</v>
      </c>
    </row>
    <row r="145" spans="11:12" x14ac:dyDescent="0.3">
      <c r="K145" s="4">
        <v>144</v>
      </c>
      <c r="L145" s="17">
        <v>2438.980215312858</v>
      </c>
    </row>
    <row r="146" spans="11:12" x14ac:dyDescent="0.3">
      <c r="K146" s="4">
        <v>145</v>
      </c>
      <c r="L146" s="17">
        <v>-5765.0104459816357</v>
      </c>
    </row>
    <row r="147" spans="11:12" x14ac:dyDescent="0.3">
      <c r="K147" s="4">
        <v>146</v>
      </c>
      <c r="L147" s="17">
        <v>-995.80890809175298</v>
      </c>
    </row>
    <row r="148" spans="11:12" x14ac:dyDescent="0.3">
      <c r="K148" s="4">
        <v>147</v>
      </c>
      <c r="L148" s="17">
        <v>-5473.8299793179103</v>
      </c>
    </row>
    <row r="149" spans="11:12" x14ac:dyDescent="0.3">
      <c r="K149" s="4">
        <v>148</v>
      </c>
      <c r="L149" s="17">
        <v>-825.38156071792923</v>
      </c>
    </row>
    <row r="150" spans="11:12" x14ac:dyDescent="0.3">
      <c r="K150" s="4">
        <v>149</v>
      </c>
      <c r="L150" s="17">
        <v>-2369.5421706774787</v>
      </c>
    </row>
    <row r="151" spans="11:12" x14ac:dyDescent="0.3">
      <c r="K151" s="4">
        <v>150</v>
      </c>
      <c r="L151" s="17">
        <v>16.039023837076058</v>
      </c>
    </row>
    <row r="152" spans="11:12" x14ac:dyDescent="0.3">
      <c r="K152" s="4">
        <v>151</v>
      </c>
      <c r="L152" s="17">
        <v>5200.1028566016876</v>
      </c>
    </row>
    <row r="153" spans="11:12" x14ac:dyDescent="0.3">
      <c r="K153" s="4">
        <v>152</v>
      </c>
      <c r="L153" s="17">
        <v>2188.5274743591499</v>
      </c>
    </row>
    <row r="154" spans="11:12" x14ac:dyDescent="0.3">
      <c r="K154" s="4">
        <v>153</v>
      </c>
      <c r="L154" s="17">
        <v>-3202.8387746722487</v>
      </c>
    </row>
    <row r="155" spans="11:12" x14ac:dyDescent="0.3">
      <c r="K155" s="4">
        <v>154</v>
      </c>
      <c r="L155" s="17">
        <v>235.5706880658052</v>
      </c>
    </row>
    <row r="156" spans="11:12" x14ac:dyDescent="0.3">
      <c r="K156" s="4">
        <v>155</v>
      </c>
      <c r="L156" s="17">
        <v>4034.2978794587339</v>
      </c>
    </row>
    <row r="157" spans="11:12" x14ac:dyDescent="0.3">
      <c r="K157" s="4">
        <v>156</v>
      </c>
      <c r="L157" s="17">
        <v>-5688.8788949621849</v>
      </c>
    </row>
    <row r="158" spans="11:12" x14ac:dyDescent="0.3">
      <c r="K158" s="4">
        <v>157</v>
      </c>
      <c r="L158" s="17">
        <v>-2814.9133152721142</v>
      </c>
    </row>
    <row r="159" spans="11:12" x14ac:dyDescent="0.3">
      <c r="K159" s="4">
        <v>158</v>
      </c>
      <c r="L159" s="17">
        <v>1178.218385427321</v>
      </c>
    </row>
    <row r="160" spans="11:12" x14ac:dyDescent="0.3">
      <c r="K160" s="4">
        <v>159</v>
      </c>
      <c r="L160" s="17">
        <v>4491.9607935431341</v>
      </c>
    </row>
    <row r="161" spans="11:12" x14ac:dyDescent="0.3">
      <c r="K161" s="4">
        <v>160</v>
      </c>
      <c r="L161" s="17">
        <v>2069.2073759420905</v>
      </c>
    </row>
    <row r="162" spans="11:12" x14ac:dyDescent="0.3">
      <c r="K162" s="4">
        <v>161</v>
      </c>
      <c r="L162" s="17">
        <v>-1911.7151675256455</v>
      </c>
    </row>
    <row r="163" spans="11:12" x14ac:dyDescent="0.3">
      <c r="K163" s="4">
        <v>162</v>
      </c>
      <c r="L163" s="17">
        <v>1861.4795391682237</v>
      </c>
    </row>
    <row r="164" spans="11:12" x14ac:dyDescent="0.3">
      <c r="K164" s="4">
        <v>163</v>
      </c>
      <c r="L164" s="17">
        <v>1441.4540462857829</v>
      </c>
    </row>
    <row r="165" spans="11:12" x14ac:dyDescent="0.3">
      <c r="K165" s="4">
        <v>164</v>
      </c>
      <c r="L165" s="17">
        <v>9049.815133656517</v>
      </c>
    </row>
    <row r="166" spans="11:12" x14ac:dyDescent="0.3">
      <c r="K166" s="4">
        <v>165</v>
      </c>
      <c r="L166" s="17">
        <v>3235.0812993595287</v>
      </c>
    </row>
    <row r="167" spans="11:12" x14ac:dyDescent="0.3">
      <c r="K167" s="4">
        <v>166</v>
      </c>
      <c r="L167" s="17">
        <v>-416.53150158855118</v>
      </c>
    </row>
    <row r="168" spans="11:12" x14ac:dyDescent="0.3">
      <c r="K168" s="4">
        <v>167</v>
      </c>
      <c r="L168" s="17">
        <v>5718.9053789112941</v>
      </c>
    </row>
    <row r="169" spans="11:12" x14ac:dyDescent="0.3">
      <c r="K169" s="4">
        <v>168</v>
      </c>
      <c r="L169" s="17">
        <v>-2588.5990135753391</v>
      </c>
    </row>
    <row r="170" spans="11:12" x14ac:dyDescent="0.3">
      <c r="K170" s="4">
        <v>169</v>
      </c>
      <c r="L170" s="17">
        <v>189.01047217369518</v>
      </c>
    </row>
    <row r="171" spans="11:12" x14ac:dyDescent="0.3">
      <c r="K171" s="4">
        <v>170</v>
      </c>
      <c r="L171" s="17">
        <v>159.69320317938394</v>
      </c>
    </row>
    <row r="172" spans="11:12" x14ac:dyDescent="0.3">
      <c r="K172" s="4">
        <v>171</v>
      </c>
      <c r="L172" s="17">
        <v>-595.26330463202726</v>
      </c>
    </row>
    <row r="173" spans="11:12" x14ac:dyDescent="0.3">
      <c r="K173" s="4">
        <v>172</v>
      </c>
      <c r="L173" s="17">
        <v>384.34496895603644</v>
      </c>
    </row>
    <row r="174" spans="11:12" x14ac:dyDescent="0.3">
      <c r="K174" s="4">
        <v>173</v>
      </c>
      <c r="L174" s="17">
        <v>412.42704628649295</v>
      </c>
    </row>
    <row r="175" spans="11:12" x14ac:dyDescent="0.3">
      <c r="K175" s="4">
        <v>174</v>
      </c>
      <c r="L175" s="17">
        <v>-900.19415036740725</v>
      </c>
    </row>
    <row r="176" spans="11:12" x14ac:dyDescent="0.3">
      <c r="K176" s="4">
        <v>175</v>
      </c>
      <c r="L176" s="17">
        <v>-1746.6666964092376</v>
      </c>
    </row>
    <row r="177" spans="11:12" x14ac:dyDescent="0.3">
      <c r="K177" s="4">
        <v>176</v>
      </c>
      <c r="L177" s="17">
        <v>3454.933556450077</v>
      </c>
    </row>
    <row r="178" spans="11:12" x14ac:dyDescent="0.3">
      <c r="K178" s="4">
        <v>177</v>
      </c>
      <c r="L178" s="17">
        <v>1835.1761956008795</v>
      </c>
    </row>
    <row r="179" spans="11:12" x14ac:dyDescent="0.3">
      <c r="K179" s="4">
        <v>178</v>
      </c>
      <c r="L179" s="17">
        <v>-923.11336562780184</v>
      </c>
    </row>
    <row r="180" spans="11:12" x14ac:dyDescent="0.3">
      <c r="K180" s="4">
        <v>179</v>
      </c>
      <c r="L180" s="17">
        <v>1310.7860627567052</v>
      </c>
    </row>
    <row r="181" spans="11:12" x14ac:dyDescent="0.3">
      <c r="K181" s="4">
        <v>180</v>
      </c>
      <c r="L181" s="17">
        <v>-3315.922792690601</v>
      </c>
    </row>
    <row r="182" spans="11:12" x14ac:dyDescent="0.3">
      <c r="K182" s="4">
        <v>181</v>
      </c>
      <c r="L182" s="17">
        <v>3462.2977222900804</v>
      </c>
    </row>
    <row r="183" spans="11:12" x14ac:dyDescent="0.3">
      <c r="K183" s="4">
        <v>182</v>
      </c>
      <c r="L183" s="17">
        <v>-3361.0836226159504</v>
      </c>
    </row>
    <row r="184" spans="11:12" x14ac:dyDescent="0.3">
      <c r="K184" s="4">
        <v>183</v>
      </c>
      <c r="L184" s="17">
        <v>-5867.6833272345575</v>
      </c>
    </row>
    <row r="185" spans="11:12" x14ac:dyDescent="0.3">
      <c r="K185" s="4">
        <v>184</v>
      </c>
      <c r="L185" s="17">
        <v>913.95602387688609</v>
      </c>
    </row>
    <row r="186" spans="11:12" x14ac:dyDescent="0.3">
      <c r="K186" s="4">
        <v>185</v>
      </c>
      <c r="L186" s="17">
        <v>963.63718720931161</v>
      </c>
    </row>
    <row r="187" spans="11:12" x14ac:dyDescent="0.3">
      <c r="K187" s="4">
        <v>186</v>
      </c>
      <c r="L187" s="17">
        <v>-3232.2695067053955</v>
      </c>
    </row>
    <row r="188" spans="11:12" x14ac:dyDescent="0.3">
      <c r="K188" s="4">
        <v>187</v>
      </c>
      <c r="L188" s="17">
        <v>-2048.110868457888</v>
      </c>
    </row>
    <row r="189" spans="11:12" x14ac:dyDescent="0.3">
      <c r="K189" s="4">
        <v>188</v>
      </c>
      <c r="L189" s="17">
        <v>-7793.5099939168731</v>
      </c>
    </row>
    <row r="190" spans="11:12" x14ac:dyDescent="0.3">
      <c r="K190" s="4">
        <v>189</v>
      </c>
      <c r="L190" s="17">
        <v>-4591.8522291984473</v>
      </c>
    </row>
    <row r="191" spans="11:12" x14ac:dyDescent="0.3">
      <c r="K191" s="4">
        <v>190</v>
      </c>
      <c r="L191" s="17">
        <v>-1301.4624826509169</v>
      </c>
    </row>
    <row r="192" spans="11:12" x14ac:dyDescent="0.3">
      <c r="K192" s="4">
        <v>191</v>
      </c>
      <c r="L192" s="17">
        <v>1312.6139609902284</v>
      </c>
    </row>
    <row r="193" spans="11:12" x14ac:dyDescent="0.3">
      <c r="K193" s="4">
        <v>192</v>
      </c>
      <c r="L193" s="17">
        <v>-5268.8344560494779</v>
      </c>
    </row>
    <row r="194" spans="11:12" x14ac:dyDescent="0.3">
      <c r="K194" s="4">
        <v>193</v>
      </c>
      <c r="L194" s="17">
        <v>519.19954046407247</v>
      </c>
    </row>
    <row r="195" spans="11:12" x14ac:dyDescent="0.3">
      <c r="K195" s="4">
        <v>194</v>
      </c>
      <c r="L195" s="17">
        <v>-3452.3193363575583</v>
      </c>
    </row>
    <row r="196" spans="11:12" x14ac:dyDescent="0.3">
      <c r="K196" s="4">
        <v>195</v>
      </c>
      <c r="L196" s="17">
        <v>84.932698280280135</v>
      </c>
    </row>
    <row r="197" spans="11:12" x14ac:dyDescent="0.3">
      <c r="K197" s="4">
        <v>196</v>
      </c>
      <c r="L197" s="17">
        <v>-1892.2352138076062</v>
      </c>
    </row>
    <row r="198" spans="11:12" x14ac:dyDescent="0.3">
      <c r="K198" s="4">
        <v>197</v>
      </c>
      <c r="L198" s="17">
        <v>2403.3369336652972</v>
      </c>
    </row>
    <row r="199" spans="11:12" x14ac:dyDescent="0.3">
      <c r="K199" s="4">
        <v>198</v>
      </c>
      <c r="L199" s="17">
        <v>-3642.4895772485843</v>
      </c>
    </row>
    <row r="200" spans="11:12" x14ac:dyDescent="0.3">
      <c r="K200" s="4">
        <v>199</v>
      </c>
      <c r="L200" s="17">
        <v>-1184.3013105001962</v>
      </c>
    </row>
    <row r="201" spans="11:12" x14ac:dyDescent="0.3">
      <c r="K201" s="4">
        <v>200</v>
      </c>
      <c r="L201" s="17">
        <v>270.81828567582244</v>
      </c>
    </row>
    <row r="202" spans="11:12" x14ac:dyDescent="0.3">
      <c r="K202" s="4">
        <v>201</v>
      </c>
      <c r="L202" s="17">
        <v>-7779.2148339534269</v>
      </c>
    </row>
    <row r="203" spans="11:12" x14ac:dyDescent="0.3">
      <c r="K203" s="4">
        <v>202</v>
      </c>
      <c r="L203" s="17">
        <v>-1867.4901562719792</v>
      </c>
    </row>
    <row r="204" spans="11:12" x14ac:dyDescent="0.3">
      <c r="K204" s="4">
        <v>203</v>
      </c>
      <c r="L204" s="17">
        <v>3292.8019426117075</v>
      </c>
    </row>
    <row r="205" spans="11:12" x14ac:dyDescent="0.3">
      <c r="K205" s="4">
        <v>204</v>
      </c>
      <c r="L205" s="17">
        <v>-906.32889528832493</v>
      </c>
    </row>
    <row r="206" spans="11:12" x14ac:dyDescent="0.3">
      <c r="K206" s="4">
        <v>205</v>
      </c>
      <c r="L206" s="17">
        <v>-1391.635352788084</v>
      </c>
    </row>
    <row r="207" spans="11:12" x14ac:dyDescent="0.3">
      <c r="K207" s="4">
        <v>206</v>
      </c>
      <c r="L207" s="17">
        <v>-1806.547393390093</v>
      </c>
    </row>
    <row r="208" spans="11:12" x14ac:dyDescent="0.3">
      <c r="K208" s="4">
        <v>207</v>
      </c>
      <c r="L208" s="17">
        <v>-7797.9708399962328</v>
      </c>
    </row>
    <row r="209" spans="11:12" x14ac:dyDescent="0.3">
      <c r="K209" s="4">
        <v>208</v>
      </c>
      <c r="L209" s="17">
        <v>-5658.7839881881391</v>
      </c>
    </row>
    <row r="210" spans="11:12" x14ac:dyDescent="0.3">
      <c r="K210" s="4">
        <v>209</v>
      </c>
      <c r="L210" s="17">
        <v>-3393.2783106338843</v>
      </c>
    </row>
    <row r="211" spans="11:12" x14ac:dyDescent="0.3">
      <c r="K211" s="4">
        <v>210</v>
      </c>
      <c r="L211" s="17">
        <v>1068.7279635316584</v>
      </c>
    </row>
    <row r="212" spans="11:12" x14ac:dyDescent="0.3">
      <c r="K212" s="4">
        <v>211</v>
      </c>
      <c r="L212" s="17">
        <v>-3664.8263459990912</v>
      </c>
    </row>
    <row r="213" spans="11:12" x14ac:dyDescent="0.3">
      <c r="K213" s="4">
        <v>212</v>
      </c>
      <c r="L213" s="17">
        <v>-4035.2176423489063</v>
      </c>
    </row>
    <row r="214" spans="11:12" x14ac:dyDescent="0.3">
      <c r="K214" s="4">
        <v>213</v>
      </c>
      <c r="L214" s="17">
        <v>708.28251988320721</v>
      </c>
    </row>
    <row r="215" spans="11:12" x14ac:dyDescent="0.3">
      <c r="K215" s="4">
        <v>214</v>
      </c>
      <c r="L215" s="17">
        <v>4243.2809180373888</v>
      </c>
    </row>
    <row r="216" spans="11:12" x14ac:dyDescent="0.3">
      <c r="K216" s="4">
        <v>215</v>
      </c>
      <c r="L216" s="17">
        <v>1148.7425764925247</v>
      </c>
    </row>
    <row r="217" spans="11:12" x14ac:dyDescent="0.3">
      <c r="K217" s="4">
        <v>216</v>
      </c>
      <c r="L217" s="17">
        <v>-3394.3760624985757</v>
      </c>
    </row>
    <row r="218" spans="11:12" x14ac:dyDescent="0.3">
      <c r="K218" s="4">
        <v>217</v>
      </c>
      <c r="L218" s="17">
        <v>783.69284814422076</v>
      </c>
    </row>
    <row r="219" spans="11:12" x14ac:dyDescent="0.3">
      <c r="K219" s="4">
        <v>218</v>
      </c>
      <c r="L219" s="17">
        <v>79.35382216515751</v>
      </c>
    </row>
    <row r="220" spans="11:12" x14ac:dyDescent="0.3">
      <c r="K220" s="4">
        <v>219</v>
      </c>
      <c r="L220" s="17">
        <v>-2754.73046349164</v>
      </c>
    </row>
    <row r="221" spans="11:12" x14ac:dyDescent="0.3">
      <c r="K221" s="4">
        <v>220</v>
      </c>
      <c r="L221" s="17">
        <v>855.07512679129513</v>
      </c>
    </row>
    <row r="222" spans="11:12" x14ac:dyDescent="0.3">
      <c r="K222" s="4">
        <v>221</v>
      </c>
      <c r="L222" s="17">
        <v>-6001.5956951318904</v>
      </c>
    </row>
    <row r="223" spans="11:12" x14ac:dyDescent="0.3">
      <c r="K223" s="4">
        <v>222</v>
      </c>
      <c r="L223" s="17">
        <v>2226.7049092804918</v>
      </c>
    </row>
    <row r="224" spans="11:12" x14ac:dyDescent="0.3">
      <c r="K224" s="4">
        <v>223</v>
      </c>
      <c r="L224" s="17">
        <v>-80.057275136146075</v>
      </c>
    </row>
    <row r="225" spans="11:12" x14ac:dyDescent="0.3">
      <c r="K225" s="4">
        <v>224</v>
      </c>
      <c r="L225" s="17">
        <v>3905.1106732566991</v>
      </c>
    </row>
    <row r="226" spans="11:12" x14ac:dyDescent="0.3">
      <c r="K226" s="4">
        <v>225</v>
      </c>
      <c r="L226" s="17">
        <v>7598.2066973067213</v>
      </c>
    </row>
    <row r="227" spans="11:12" x14ac:dyDescent="0.3">
      <c r="K227" s="4">
        <v>226</v>
      </c>
      <c r="L227" s="17">
        <v>-48.903947249755163</v>
      </c>
    </row>
    <row r="228" spans="11:12" x14ac:dyDescent="0.3">
      <c r="K228" s="4">
        <v>227</v>
      </c>
      <c r="L228" s="17">
        <v>-2339.5505890918475</v>
      </c>
    </row>
    <row r="229" spans="11:12" x14ac:dyDescent="0.3">
      <c r="K229" s="4">
        <v>228</v>
      </c>
      <c r="L229" s="17">
        <v>1511.7186095139955</v>
      </c>
    </row>
    <row r="230" spans="11:12" x14ac:dyDescent="0.3">
      <c r="K230" s="4">
        <v>229</v>
      </c>
      <c r="L230" s="17">
        <v>-3338.2964586057965</v>
      </c>
    </row>
    <row r="231" spans="11:12" x14ac:dyDescent="0.3">
      <c r="K231" s="4">
        <v>230</v>
      </c>
      <c r="L231" s="17">
        <v>-3266.861730586309</v>
      </c>
    </row>
    <row r="232" spans="11:12" x14ac:dyDescent="0.3">
      <c r="K232" s="4">
        <v>231</v>
      </c>
      <c r="L232" s="17">
        <v>5070.8177877551771</v>
      </c>
    </row>
    <row r="233" spans="11:12" x14ac:dyDescent="0.3">
      <c r="K233" s="4">
        <v>232</v>
      </c>
      <c r="L233" s="17">
        <v>-3729.1016684916467</v>
      </c>
    </row>
    <row r="234" spans="11:12" x14ac:dyDescent="0.3">
      <c r="K234" s="4">
        <v>233</v>
      </c>
      <c r="L234" s="17">
        <v>1257.0900716133376</v>
      </c>
    </row>
    <row r="235" spans="11:12" x14ac:dyDescent="0.3">
      <c r="K235" s="4">
        <v>234</v>
      </c>
      <c r="L235" s="17">
        <v>-1574.7573558561701</v>
      </c>
    </row>
    <row r="236" spans="11:12" x14ac:dyDescent="0.3">
      <c r="K236" s="4">
        <v>235</v>
      </c>
      <c r="L236" s="17">
        <v>4400.1519079530108</v>
      </c>
    </row>
    <row r="237" spans="11:12" x14ac:dyDescent="0.3">
      <c r="K237" s="4">
        <v>236</v>
      </c>
      <c r="L237" s="17">
        <v>-3369.3353931748088</v>
      </c>
    </row>
    <row r="238" spans="11:12" x14ac:dyDescent="0.3">
      <c r="K238" s="4">
        <v>237</v>
      </c>
      <c r="L238" s="17">
        <v>4295.6516182473251</v>
      </c>
    </row>
    <row r="239" spans="11:12" x14ac:dyDescent="0.3">
      <c r="K239" s="4">
        <v>238</v>
      </c>
      <c r="L239" s="17">
        <v>1298.802416886708</v>
      </c>
    </row>
    <row r="240" spans="11:12" x14ac:dyDescent="0.3">
      <c r="K240" s="4">
        <v>239</v>
      </c>
      <c r="L240" s="17">
        <v>-1729.968829551781</v>
      </c>
    </row>
    <row r="241" spans="11:12" x14ac:dyDescent="0.3">
      <c r="K241" s="4">
        <v>240</v>
      </c>
      <c r="L241" s="17">
        <v>-6095.0133946013339</v>
      </c>
    </row>
    <row r="242" spans="11:12" x14ac:dyDescent="0.3">
      <c r="K242" s="4">
        <v>241</v>
      </c>
      <c r="L242" s="17">
        <v>1639.9665251007809</v>
      </c>
    </row>
    <row r="243" spans="11:12" x14ac:dyDescent="0.3">
      <c r="K243" s="4">
        <v>242</v>
      </c>
      <c r="L243" s="17">
        <v>-3314.3536617844361</v>
      </c>
    </row>
    <row r="244" spans="11:12" x14ac:dyDescent="0.3">
      <c r="K244" s="4">
        <v>243</v>
      </c>
      <c r="L244" s="17">
        <v>-7248.5726146191964</v>
      </c>
    </row>
    <row r="245" spans="11:12" x14ac:dyDescent="0.3">
      <c r="K245" s="4">
        <v>244</v>
      </c>
      <c r="L245" s="17">
        <v>4407.1663919645134</v>
      </c>
    </row>
    <row r="246" spans="11:12" x14ac:dyDescent="0.3">
      <c r="K246" s="4">
        <v>245</v>
      </c>
      <c r="L246" s="17">
        <v>3979.1708038648217</v>
      </c>
    </row>
    <row r="247" spans="11:12" x14ac:dyDescent="0.3">
      <c r="K247" s="4">
        <v>246</v>
      </c>
      <c r="L247" s="17">
        <v>4081.7362755860654</v>
      </c>
    </row>
    <row r="248" spans="11:12" x14ac:dyDescent="0.3">
      <c r="K248" s="4">
        <v>247</v>
      </c>
      <c r="L248" s="17">
        <v>-6141.4925909229714</v>
      </c>
    </row>
    <row r="249" spans="11:12" x14ac:dyDescent="0.3">
      <c r="K249" s="4">
        <v>248</v>
      </c>
      <c r="L249" s="17">
        <v>-4170.0321258947406</v>
      </c>
    </row>
    <row r="250" spans="11:12" x14ac:dyDescent="0.3">
      <c r="K250" s="4">
        <v>249</v>
      </c>
      <c r="L250" s="17">
        <v>-4901.2854655421424</v>
      </c>
    </row>
    <row r="251" spans="11:12" x14ac:dyDescent="0.3">
      <c r="K251" s="4">
        <v>250</v>
      </c>
      <c r="L251" s="17">
        <v>-391.72354041635924</v>
      </c>
    </row>
    <row r="252" spans="11:12" x14ac:dyDescent="0.3">
      <c r="K252" s="4">
        <v>251</v>
      </c>
      <c r="L252" s="17">
        <v>4676.8295246271573</v>
      </c>
    </row>
    <row r="253" spans="11:12" x14ac:dyDescent="0.3">
      <c r="K253" s="4">
        <v>252</v>
      </c>
      <c r="L253" s="17">
        <v>-5057.6558500226392</v>
      </c>
    </row>
    <row r="254" spans="11:12" x14ac:dyDescent="0.3">
      <c r="K254" s="4">
        <v>253</v>
      </c>
      <c r="L254" s="17">
        <v>2533.673298780895</v>
      </c>
    </row>
    <row r="255" spans="11:12" x14ac:dyDescent="0.3">
      <c r="K255" s="4">
        <v>254</v>
      </c>
      <c r="L255" s="17">
        <v>-417.58320282968367</v>
      </c>
    </row>
    <row r="256" spans="11:12" x14ac:dyDescent="0.3">
      <c r="K256" s="4">
        <v>255</v>
      </c>
      <c r="L256" s="17">
        <v>-4223.9608668798573</v>
      </c>
    </row>
    <row r="257" spans="11:12" x14ac:dyDescent="0.3">
      <c r="K257" s="4">
        <v>256</v>
      </c>
      <c r="L257" s="17">
        <v>-4568.67189553354</v>
      </c>
    </row>
    <row r="258" spans="11:12" x14ac:dyDescent="0.3">
      <c r="K258" s="4">
        <v>257</v>
      </c>
      <c r="L258" s="17">
        <v>-7103.9341476071268</v>
      </c>
    </row>
    <row r="259" spans="11:12" x14ac:dyDescent="0.3">
      <c r="K259" s="4">
        <v>258</v>
      </c>
      <c r="L259" s="17">
        <v>3619.2881008101544</v>
      </c>
    </row>
    <row r="260" spans="11:12" x14ac:dyDescent="0.3">
      <c r="K260" s="4">
        <v>259</v>
      </c>
      <c r="L260" s="17">
        <v>-4477.546294241376</v>
      </c>
    </row>
    <row r="261" spans="11:12" x14ac:dyDescent="0.3">
      <c r="K261" s="4">
        <v>260</v>
      </c>
      <c r="L261" s="17">
        <v>2121.2329163546392</v>
      </c>
    </row>
    <row r="262" spans="11:12" x14ac:dyDescent="0.3">
      <c r="K262" s="4">
        <v>261</v>
      </c>
      <c r="L262" s="17">
        <v>-8209.5579578775505</v>
      </c>
    </row>
    <row r="263" spans="11:12" x14ac:dyDescent="0.3">
      <c r="K263" s="4">
        <v>262</v>
      </c>
      <c r="L263" s="17">
        <v>-88.334004233838641</v>
      </c>
    </row>
    <row r="264" spans="11:12" x14ac:dyDescent="0.3">
      <c r="K264" s="4">
        <v>263</v>
      </c>
      <c r="L264" s="17">
        <v>-3481.4419078297651</v>
      </c>
    </row>
    <row r="265" spans="11:12" x14ac:dyDescent="0.3">
      <c r="K265" s="4">
        <v>264</v>
      </c>
      <c r="L265" s="17">
        <v>2797.2979635807183</v>
      </c>
    </row>
    <row r="266" spans="11:12" x14ac:dyDescent="0.3">
      <c r="K266" s="4">
        <v>265</v>
      </c>
      <c r="L266" s="17">
        <v>-2662.2351196848504</v>
      </c>
    </row>
    <row r="267" spans="11:12" x14ac:dyDescent="0.3">
      <c r="K267" s="4">
        <v>266</v>
      </c>
      <c r="L267" s="17">
        <v>-5745.0969351162994</v>
      </c>
    </row>
    <row r="268" spans="11:12" x14ac:dyDescent="0.3">
      <c r="K268" s="4">
        <v>267</v>
      </c>
      <c r="L268" s="17">
        <v>1637.2137254033446</v>
      </c>
    </row>
    <row r="269" spans="11:12" x14ac:dyDescent="0.3">
      <c r="K269" s="4">
        <v>268</v>
      </c>
      <c r="L269" s="17">
        <v>4541.3339892621161</v>
      </c>
    </row>
    <row r="270" spans="11:12" x14ac:dyDescent="0.3">
      <c r="K270" s="4">
        <v>269</v>
      </c>
      <c r="L270" s="17">
        <v>-3748.8182548126792</v>
      </c>
    </row>
    <row r="271" spans="11:12" x14ac:dyDescent="0.3">
      <c r="K271" s="4">
        <v>270</v>
      </c>
      <c r="L271" s="17">
        <v>-3150.139902961469</v>
      </c>
    </row>
    <row r="272" spans="11:12" x14ac:dyDescent="0.3">
      <c r="K272" s="4">
        <v>271</v>
      </c>
      <c r="L272" s="17">
        <v>659.82176934605764</v>
      </c>
    </row>
    <row r="273" spans="11:12" x14ac:dyDescent="0.3">
      <c r="K273" s="4">
        <v>272</v>
      </c>
      <c r="L273" s="17">
        <v>-400.45038906885486</v>
      </c>
    </row>
    <row r="274" spans="11:12" x14ac:dyDescent="0.3">
      <c r="K274" s="4">
        <v>273</v>
      </c>
      <c r="L274" s="17">
        <v>-358.46863619009144</v>
      </c>
    </row>
    <row r="275" spans="11:12" x14ac:dyDescent="0.3">
      <c r="K275" s="4">
        <v>274</v>
      </c>
      <c r="L275" s="17">
        <v>-1893.886505263114</v>
      </c>
    </row>
    <row r="276" spans="11:12" x14ac:dyDescent="0.3">
      <c r="K276" s="4">
        <v>275</v>
      </c>
      <c r="L276" s="17">
        <v>-2052.3999431020138</v>
      </c>
    </row>
    <row r="277" spans="11:12" x14ac:dyDescent="0.3">
      <c r="K277" s="4">
        <v>276</v>
      </c>
      <c r="L277" s="17">
        <v>-2478.6721786336475</v>
      </c>
    </row>
    <row r="278" spans="11:12" x14ac:dyDescent="0.3">
      <c r="K278" s="4">
        <v>277</v>
      </c>
      <c r="L278" s="17">
        <v>-3712.5732484020527</v>
      </c>
    </row>
    <row r="279" spans="11:12" x14ac:dyDescent="0.3">
      <c r="K279" s="4">
        <v>278</v>
      </c>
      <c r="L279" s="17">
        <v>-929.12778149439259</v>
      </c>
    </row>
    <row r="280" spans="11:12" x14ac:dyDescent="0.3">
      <c r="K280" s="4">
        <v>279</v>
      </c>
      <c r="L280" s="17">
        <v>-2122.0291365598273</v>
      </c>
    </row>
    <row r="281" spans="11:12" x14ac:dyDescent="0.3">
      <c r="K281" s="4">
        <v>280</v>
      </c>
      <c r="L281" s="17">
        <v>8344.6088913256444</v>
      </c>
    </row>
    <row r="282" spans="11:12" x14ac:dyDescent="0.3">
      <c r="K282" s="4">
        <v>281</v>
      </c>
      <c r="L282" s="17">
        <v>-135.72988173723144</v>
      </c>
    </row>
    <row r="283" spans="11:12" x14ac:dyDescent="0.3">
      <c r="K283" s="4">
        <v>282</v>
      </c>
      <c r="L283" s="17">
        <v>-3079.4042426356227</v>
      </c>
    </row>
    <row r="284" spans="11:12" x14ac:dyDescent="0.3">
      <c r="K284" s="4">
        <v>283</v>
      </c>
      <c r="L284" s="17">
        <v>-1811.7801605815159</v>
      </c>
    </row>
    <row r="285" spans="11:12" x14ac:dyDescent="0.3">
      <c r="K285" s="4">
        <v>284</v>
      </c>
      <c r="L285" s="17">
        <v>-1064.2480380842262</v>
      </c>
    </row>
    <row r="286" spans="11:12" x14ac:dyDescent="0.3">
      <c r="K286" s="4">
        <v>285</v>
      </c>
      <c r="L286" s="17">
        <v>-2968.2434057648125</v>
      </c>
    </row>
    <row r="287" spans="11:12" x14ac:dyDescent="0.3">
      <c r="K287" s="4">
        <v>286</v>
      </c>
      <c r="L287" s="17">
        <v>-898.37166337587007</v>
      </c>
    </row>
    <row r="288" spans="11:12" x14ac:dyDescent="0.3">
      <c r="K288" s="4">
        <v>287</v>
      </c>
      <c r="L288" s="17">
        <v>-373.74361726048136</v>
      </c>
    </row>
    <row r="289" spans="11:12" x14ac:dyDescent="0.3">
      <c r="K289" s="4">
        <v>288</v>
      </c>
      <c r="L289" s="17">
        <v>-765.84508138608862</v>
      </c>
    </row>
    <row r="290" spans="11:12" x14ac:dyDescent="0.3">
      <c r="K290" s="4">
        <v>289</v>
      </c>
      <c r="L290" s="17">
        <v>2490.0889139077008</v>
      </c>
    </row>
    <row r="291" spans="11:12" x14ac:dyDescent="0.3">
      <c r="K291" s="4">
        <v>290</v>
      </c>
      <c r="L291" s="17">
        <v>-2400.5586647894888</v>
      </c>
    </row>
    <row r="292" spans="11:12" x14ac:dyDescent="0.3">
      <c r="K292" s="4">
        <v>291</v>
      </c>
      <c r="L292" s="17">
        <v>-1363.2933190938159</v>
      </c>
    </row>
    <row r="293" spans="11:12" x14ac:dyDescent="0.3">
      <c r="K293" s="4">
        <v>292</v>
      </c>
      <c r="L293" s="17">
        <v>7191.2192186935472</v>
      </c>
    </row>
    <row r="294" spans="11:12" x14ac:dyDescent="0.3">
      <c r="K294" s="4">
        <v>293</v>
      </c>
      <c r="L294" s="17">
        <v>5692.77747532594</v>
      </c>
    </row>
    <row r="295" spans="11:12" x14ac:dyDescent="0.3">
      <c r="K295" s="4">
        <v>294</v>
      </c>
      <c r="L295" s="17">
        <v>-1672.2124676625306</v>
      </c>
    </row>
    <row r="296" spans="11:12" x14ac:dyDescent="0.3">
      <c r="K296" s="4">
        <v>295</v>
      </c>
      <c r="L296" s="17">
        <v>-144.74533377726544</v>
      </c>
    </row>
    <row r="297" spans="11:12" x14ac:dyDescent="0.3">
      <c r="K297" s="4">
        <v>296</v>
      </c>
      <c r="L297" s="17">
        <v>-3928.4629494787232</v>
      </c>
    </row>
    <row r="298" spans="11:12" x14ac:dyDescent="0.3">
      <c r="K298" s="4">
        <v>297</v>
      </c>
      <c r="L298" s="17">
        <v>-911.19323914972051</v>
      </c>
    </row>
    <row r="299" spans="11:12" x14ac:dyDescent="0.3">
      <c r="K299" s="4">
        <v>298</v>
      </c>
      <c r="L299" s="17">
        <v>-311.48573925182779</v>
      </c>
    </row>
    <row r="300" spans="11:12" x14ac:dyDescent="0.3">
      <c r="K300" s="4">
        <v>299</v>
      </c>
      <c r="L300" s="17">
        <v>-219.87242448355428</v>
      </c>
    </row>
    <row r="301" spans="11:12" x14ac:dyDescent="0.3">
      <c r="K301" s="4">
        <v>300</v>
      </c>
      <c r="L301" s="17">
        <v>-2416.8282339065013</v>
      </c>
    </row>
    <row r="302" spans="11:12" x14ac:dyDescent="0.3">
      <c r="K302" s="4">
        <v>301</v>
      </c>
      <c r="L302" s="17">
        <v>-168.68444967418969</v>
      </c>
    </row>
    <row r="303" spans="11:12" x14ac:dyDescent="0.3">
      <c r="K303" s="4">
        <v>302</v>
      </c>
      <c r="L303" s="17">
        <v>3215.1027197792127</v>
      </c>
    </row>
    <row r="304" spans="11:12" x14ac:dyDescent="0.3">
      <c r="K304" s="4">
        <v>303</v>
      </c>
      <c r="L304" s="17">
        <v>-2953.130882596191</v>
      </c>
    </row>
    <row r="305" spans="11:12" x14ac:dyDescent="0.3">
      <c r="K305" s="4">
        <v>304</v>
      </c>
      <c r="L305" s="17">
        <v>5403.8394954457408</v>
      </c>
    </row>
    <row r="306" spans="11:12" x14ac:dyDescent="0.3">
      <c r="K306" s="4">
        <v>305</v>
      </c>
      <c r="L306" s="17">
        <v>-663.98186055379631</v>
      </c>
    </row>
    <row r="307" spans="11:12" x14ac:dyDescent="0.3">
      <c r="K307" s="4">
        <v>306</v>
      </c>
      <c r="L307" s="17">
        <v>-4940.9689444404958</v>
      </c>
    </row>
    <row r="308" spans="11:12" x14ac:dyDescent="0.3">
      <c r="K308" s="4">
        <v>307</v>
      </c>
      <c r="L308" s="17">
        <v>1296.3492723510346</v>
      </c>
    </row>
    <row r="309" spans="11:12" x14ac:dyDescent="0.3">
      <c r="K309" s="4">
        <v>308</v>
      </c>
      <c r="L309" s="17">
        <v>324.79215619495625</v>
      </c>
    </row>
    <row r="310" spans="11:12" x14ac:dyDescent="0.3">
      <c r="K310" s="4">
        <v>309</v>
      </c>
      <c r="L310" s="17">
        <v>-2000.3728494740565</v>
      </c>
    </row>
    <row r="311" spans="11:12" x14ac:dyDescent="0.3">
      <c r="K311" s="4">
        <v>310</v>
      </c>
      <c r="L311" s="17">
        <v>5156.7887876732439</v>
      </c>
    </row>
    <row r="312" spans="11:12" x14ac:dyDescent="0.3">
      <c r="K312" s="4">
        <v>311</v>
      </c>
      <c r="L312" s="17">
        <v>-2224.2148484585159</v>
      </c>
    </row>
    <row r="313" spans="11:12" x14ac:dyDescent="0.3">
      <c r="K313" s="4">
        <v>312</v>
      </c>
      <c r="L313" s="17">
        <v>-5103.6080766301438</v>
      </c>
    </row>
    <row r="314" spans="11:12" x14ac:dyDescent="0.3">
      <c r="K314" s="4">
        <v>313</v>
      </c>
      <c r="L314" s="17">
        <v>-6178.6800858482802</v>
      </c>
    </row>
    <row r="315" spans="11:12" x14ac:dyDescent="0.3">
      <c r="K315" s="4">
        <v>314</v>
      </c>
      <c r="L315" s="17">
        <v>1128.9256701657714</v>
      </c>
    </row>
    <row r="316" spans="11:12" x14ac:dyDescent="0.3">
      <c r="K316" s="4">
        <v>315</v>
      </c>
      <c r="L316" s="17">
        <v>-2417.5192488136508</v>
      </c>
    </row>
    <row r="317" spans="11:12" x14ac:dyDescent="0.3">
      <c r="K317" s="4">
        <v>316</v>
      </c>
      <c r="L317" s="17">
        <v>1293.267037447758</v>
      </c>
    </row>
    <row r="318" spans="11:12" x14ac:dyDescent="0.3">
      <c r="K318" s="4">
        <v>317</v>
      </c>
      <c r="L318" s="17">
        <v>-1233.7075242317908</v>
      </c>
    </row>
    <row r="319" spans="11:12" x14ac:dyDescent="0.3">
      <c r="K319" s="4">
        <v>318</v>
      </c>
      <c r="L319" s="17">
        <v>-1770.2008705495641</v>
      </c>
    </row>
    <row r="320" spans="11:12" x14ac:dyDescent="0.3">
      <c r="K320" s="4">
        <v>319</v>
      </c>
      <c r="L320" s="17">
        <v>-4092.7568136019572</v>
      </c>
    </row>
    <row r="321" spans="11:12" x14ac:dyDescent="0.3">
      <c r="K321" s="4">
        <v>320</v>
      </c>
      <c r="L321" s="17">
        <v>-861.29266505407827</v>
      </c>
    </row>
    <row r="322" spans="11:12" x14ac:dyDescent="0.3">
      <c r="K322" s="4">
        <v>321</v>
      </c>
      <c r="L322" s="17">
        <v>-2492.8842569265098</v>
      </c>
    </row>
    <row r="323" spans="11:12" x14ac:dyDescent="0.3">
      <c r="K323" s="4">
        <v>322</v>
      </c>
      <c r="L323" s="17">
        <v>1288.5364151106112</v>
      </c>
    </row>
    <row r="324" spans="11:12" x14ac:dyDescent="0.3">
      <c r="K324" s="4">
        <v>323</v>
      </c>
      <c r="L324" s="17">
        <v>1884.8272073691714</v>
      </c>
    </row>
    <row r="325" spans="11:12" x14ac:dyDescent="0.3">
      <c r="K325" s="4">
        <v>324</v>
      </c>
      <c r="L325" s="17">
        <v>-1913.9063793197915</v>
      </c>
    </row>
    <row r="326" spans="11:12" x14ac:dyDescent="0.3">
      <c r="K326" s="4">
        <v>325</v>
      </c>
      <c r="L326" s="17">
        <v>-6736.0699478556453</v>
      </c>
    </row>
    <row r="327" spans="11:12" x14ac:dyDescent="0.3">
      <c r="K327" s="4">
        <v>326</v>
      </c>
      <c r="L327" s="17">
        <v>-799.14572573142664</v>
      </c>
    </row>
    <row r="328" spans="11:12" x14ac:dyDescent="0.3">
      <c r="K328" s="4">
        <v>327</v>
      </c>
      <c r="L328" s="17">
        <v>-8733.1963233057868</v>
      </c>
    </row>
    <row r="329" spans="11:12" x14ac:dyDescent="0.3">
      <c r="K329" s="4">
        <v>328</v>
      </c>
      <c r="L329" s="17">
        <v>1970.9085809878807</v>
      </c>
    </row>
    <row r="330" spans="11:12" x14ac:dyDescent="0.3">
      <c r="K330" s="4">
        <v>329</v>
      </c>
      <c r="L330" s="17">
        <v>-2894.605871308514</v>
      </c>
    </row>
    <row r="331" spans="11:12" x14ac:dyDescent="0.3">
      <c r="K331" s="4">
        <v>330</v>
      </c>
      <c r="L331" s="17">
        <v>924.16891009144956</v>
      </c>
    </row>
    <row r="332" spans="11:12" x14ac:dyDescent="0.3">
      <c r="K332" s="4">
        <v>331</v>
      </c>
      <c r="L332" s="17">
        <v>4131.6127895015361</v>
      </c>
    </row>
    <row r="333" spans="11:12" x14ac:dyDescent="0.3">
      <c r="K333" s="4">
        <v>332</v>
      </c>
      <c r="L333" s="17">
        <v>4440.9347423179624</v>
      </c>
    </row>
    <row r="334" spans="11:12" x14ac:dyDescent="0.3">
      <c r="K334" s="4">
        <v>333</v>
      </c>
      <c r="L334" s="17">
        <v>-4366.9661865749686</v>
      </c>
    </row>
    <row r="335" spans="11:12" x14ac:dyDescent="0.3">
      <c r="K335" s="4">
        <v>334</v>
      </c>
      <c r="L335" s="17">
        <v>-2026.2809479003995</v>
      </c>
    </row>
    <row r="336" spans="11:12" x14ac:dyDescent="0.3">
      <c r="K336" s="4">
        <v>335</v>
      </c>
      <c r="L336" s="17">
        <v>-829.58629918970826</v>
      </c>
    </row>
    <row r="337" spans="11:12" x14ac:dyDescent="0.3">
      <c r="K337" s="4">
        <v>336</v>
      </c>
      <c r="L337" s="17">
        <v>-2674.7372786299566</v>
      </c>
    </row>
    <row r="338" spans="11:12" x14ac:dyDescent="0.3">
      <c r="K338" s="4">
        <v>337</v>
      </c>
      <c r="L338" s="17">
        <v>984.51824871836902</v>
      </c>
    </row>
    <row r="339" spans="11:12" x14ac:dyDescent="0.3">
      <c r="K339" s="4">
        <v>338</v>
      </c>
      <c r="L339" s="17">
        <v>1503.0893307003012</v>
      </c>
    </row>
    <row r="340" spans="11:12" x14ac:dyDescent="0.3">
      <c r="K340" s="4">
        <v>339</v>
      </c>
      <c r="L340" s="17">
        <v>2897.3490584220672</v>
      </c>
    </row>
    <row r="341" spans="11:12" x14ac:dyDescent="0.3">
      <c r="K341" s="4">
        <v>340</v>
      </c>
      <c r="L341" s="17">
        <v>-3009.4013524777929</v>
      </c>
    </row>
    <row r="342" spans="11:12" x14ac:dyDescent="0.3">
      <c r="K342" s="4">
        <v>341</v>
      </c>
      <c r="L342" s="17">
        <v>539.78282328766022</v>
      </c>
    </row>
    <row r="343" spans="11:12" x14ac:dyDescent="0.3">
      <c r="K343" s="4">
        <v>342</v>
      </c>
      <c r="L343" s="17">
        <v>3447.3160798798535</v>
      </c>
    </row>
    <row r="344" spans="11:12" x14ac:dyDescent="0.3">
      <c r="K344" s="4">
        <v>343</v>
      </c>
      <c r="L344" s="17">
        <v>-2872.7575209902679</v>
      </c>
    </row>
    <row r="345" spans="11:12" x14ac:dyDescent="0.3">
      <c r="K345" s="4">
        <v>344</v>
      </c>
      <c r="L345" s="17">
        <v>-9016.4222141364062</v>
      </c>
    </row>
    <row r="346" spans="11:12" x14ac:dyDescent="0.3">
      <c r="K346" s="4">
        <v>345</v>
      </c>
      <c r="L346" s="17">
        <v>3600.5432613488629</v>
      </c>
    </row>
    <row r="347" spans="11:12" x14ac:dyDescent="0.3">
      <c r="K347" s="4">
        <v>346</v>
      </c>
      <c r="L347" s="17">
        <v>-5444.845305345465</v>
      </c>
    </row>
    <row r="348" spans="11:12" x14ac:dyDescent="0.3">
      <c r="K348" s="4">
        <v>347</v>
      </c>
      <c r="L348" s="17">
        <v>2910.5233785672167</v>
      </c>
    </row>
    <row r="349" spans="11:12" x14ac:dyDescent="0.3">
      <c r="K349" s="4">
        <v>348</v>
      </c>
      <c r="L349" s="17">
        <v>-4295.321637689377</v>
      </c>
    </row>
    <row r="350" spans="11:12" x14ac:dyDescent="0.3">
      <c r="K350" s="4">
        <v>349</v>
      </c>
      <c r="L350" s="17">
        <v>-6943.9862807927439</v>
      </c>
    </row>
    <row r="351" spans="11:12" x14ac:dyDescent="0.3">
      <c r="K351" s="4">
        <v>350</v>
      </c>
      <c r="L351" s="17">
        <v>1598.4586106731672</v>
      </c>
    </row>
    <row r="352" spans="11:12" x14ac:dyDescent="0.3">
      <c r="K352" s="4">
        <v>351</v>
      </c>
      <c r="L352" s="17">
        <v>-3248.2445622252108</v>
      </c>
    </row>
    <row r="353" spans="11:12" x14ac:dyDescent="0.3">
      <c r="K353" s="4">
        <v>352</v>
      </c>
      <c r="L353" s="17">
        <v>-324.13364324153054</v>
      </c>
    </row>
    <row r="354" spans="11:12" x14ac:dyDescent="0.3">
      <c r="K354" s="4">
        <v>353</v>
      </c>
      <c r="L354" s="17">
        <v>1188.2527984506908</v>
      </c>
    </row>
    <row r="355" spans="11:12" x14ac:dyDescent="0.3">
      <c r="K355" s="4">
        <v>354</v>
      </c>
      <c r="L355" s="17">
        <v>-379.53329643400338</v>
      </c>
    </row>
    <row r="356" spans="11:12" x14ac:dyDescent="0.3">
      <c r="K356" s="4">
        <v>355</v>
      </c>
      <c r="L356" s="17">
        <v>1898.0240386188843</v>
      </c>
    </row>
    <row r="357" spans="11:12" x14ac:dyDescent="0.3">
      <c r="K357" s="4">
        <v>356</v>
      </c>
      <c r="L357" s="17">
        <v>7471.7970773070901</v>
      </c>
    </row>
    <row r="358" spans="11:12" x14ac:dyDescent="0.3">
      <c r="K358" s="4">
        <v>357</v>
      </c>
      <c r="L358" s="17">
        <v>1087.3840941571541</v>
      </c>
    </row>
    <row r="359" spans="11:12" x14ac:dyDescent="0.3">
      <c r="K359" s="4">
        <v>358</v>
      </c>
      <c r="L359" s="17">
        <v>-2241.7864437825028</v>
      </c>
    </row>
    <row r="360" spans="11:12" x14ac:dyDescent="0.3">
      <c r="K360" s="4">
        <v>359</v>
      </c>
      <c r="L360" s="17">
        <v>-4737.951613790904</v>
      </c>
    </row>
    <row r="361" spans="11:12" x14ac:dyDescent="0.3">
      <c r="K361" s="4">
        <v>360</v>
      </c>
      <c r="L361" s="17">
        <v>-8492.6105251306799</v>
      </c>
    </row>
    <row r="362" spans="11:12" x14ac:dyDescent="0.3">
      <c r="K362" s="4">
        <v>361</v>
      </c>
      <c r="L362" s="17">
        <v>3314.4411639386681</v>
      </c>
    </row>
    <row r="363" spans="11:12" x14ac:dyDescent="0.3">
      <c r="K363" s="4">
        <v>362</v>
      </c>
      <c r="L363" s="17">
        <v>2018.4027719749934</v>
      </c>
    </row>
    <row r="364" spans="11:12" x14ac:dyDescent="0.3">
      <c r="K364" s="4">
        <v>363</v>
      </c>
      <c r="L364" s="17">
        <v>-1834.1369774186787</v>
      </c>
    </row>
    <row r="365" spans="11:12" x14ac:dyDescent="0.3">
      <c r="K365" s="4">
        <v>364</v>
      </c>
      <c r="L365" s="17">
        <v>29.73967235147046</v>
      </c>
    </row>
    <row r="366" spans="11:12" x14ac:dyDescent="0.3">
      <c r="K366" s="4">
        <v>365</v>
      </c>
      <c r="L366" s="17">
        <v>3836.113092891032</v>
      </c>
    </row>
    <row r="367" spans="11:12" x14ac:dyDescent="0.3">
      <c r="K367" s="4">
        <v>366</v>
      </c>
      <c r="L367" s="17">
        <v>1184.465585966115</v>
      </c>
    </row>
    <row r="368" spans="11:12" x14ac:dyDescent="0.3">
      <c r="K368" s="4">
        <v>367</v>
      </c>
      <c r="L368" s="17">
        <v>4232.860749100998</v>
      </c>
    </row>
    <row r="369" spans="11:12" x14ac:dyDescent="0.3">
      <c r="K369" s="4">
        <v>368</v>
      </c>
      <c r="L369" s="17">
        <v>-3310.6904165010478</v>
      </c>
    </row>
    <row r="370" spans="11:12" x14ac:dyDescent="0.3">
      <c r="K370" s="4">
        <v>369</v>
      </c>
      <c r="L370" s="17">
        <v>3104.199975836666</v>
      </c>
    </row>
    <row r="371" spans="11:12" x14ac:dyDescent="0.3">
      <c r="K371" s="4">
        <v>370</v>
      </c>
      <c r="L371" s="17">
        <v>3243.3795361256884</v>
      </c>
    </row>
    <row r="372" spans="11:12" x14ac:dyDescent="0.3">
      <c r="K372" s="4">
        <v>371</v>
      </c>
      <c r="L372" s="17">
        <v>-3394.356449186756</v>
      </c>
    </row>
    <row r="373" spans="11:12" x14ac:dyDescent="0.3">
      <c r="K373" s="4">
        <v>372</v>
      </c>
      <c r="L373" s="17">
        <v>-6244.5443890090519</v>
      </c>
    </row>
    <row r="374" spans="11:12" x14ac:dyDescent="0.3">
      <c r="K374" s="4">
        <v>373</v>
      </c>
      <c r="L374" s="17">
        <v>1224.6753822271141</v>
      </c>
    </row>
    <row r="375" spans="11:12" x14ac:dyDescent="0.3">
      <c r="K375" s="4">
        <v>374</v>
      </c>
      <c r="L375" s="17">
        <v>448.45326493452211</v>
      </c>
    </row>
    <row r="376" spans="11:12" x14ac:dyDescent="0.3">
      <c r="K376" s="4">
        <v>375</v>
      </c>
      <c r="L376" s="17">
        <v>-425.90273699507446</v>
      </c>
    </row>
    <row r="377" spans="11:12" x14ac:dyDescent="0.3">
      <c r="K377" s="4">
        <v>376</v>
      </c>
      <c r="L377" s="17">
        <v>-2008.8709788346121</v>
      </c>
    </row>
    <row r="378" spans="11:12" x14ac:dyDescent="0.3">
      <c r="K378" s="4">
        <v>377</v>
      </c>
      <c r="L378" s="17">
        <v>-798.29355612678501</v>
      </c>
    </row>
    <row r="379" spans="11:12" x14ac:dyDescent="0.3">
      <c r="K379" s="4">
        <v>378</v>
      </c>
      <c r="L379" s="17">
        <v>-986.80509749484645</v>
      </c>
    </row>
    <row r="380" spans="11:12" x14ac:dyDescent="0.3">
      <c r="K380" s="4">
        <v>379</v>
      </c>
      <c r="L380" s="17">
        <v>2869.6236113637906</v>
      </c>
    </row>
    <row r="381" spans="11:12" x14ac:dyDescent="0.3">
      <c r="K381" s="4">
        <v>380</v>
      </c>
      <c r="L381" s="17">
        <v>-1777.3546432075691</v>
      </c>
    </row>
    <row r="382" spans="11:12" x14ac:dyDescent="0.3">
      <c r="K382" s="4">
        <v>381</v>
      </c>
      <c r="L382" s="17">
        <v>-2763.3374549615341</v>
      </c>
    </row>
    <row r="383" spans="11:12" x14ac:dyDescent="0.3">
      <c r="K383" s="4">
        <v>382</v>
      </c>
      <c r="L383" s="17">
        <v>435.83415000884173</v>
      </c>
    </row>
    <row r="384" spans="11:12" x14ac:dyDescent="0.3">
      <c r="K384" s="4">
        <v>383</v>
      </c>
      <c r="L384" s="17">
        <v>-4540.7069770656171</v>
      </c>
    </row>
    <row r="385" spans="11:12" x14ac:dyDescent="0.3">
      <c r="K385" s="4">
        <v>384</v>
      </c>
      <c r="L385" s="17">
        <v>8399.6461243576759</v>
      </c>
    </row>
    <row r="386" spans="11:12" x14ac:dyDescent="0.3">
      <c r="K386" s="4">
        <v>385</v>
      </c>
      <c r="L386" s="17">
        <v>2541.0396827173172</v>
      </c>
    </row>
    <row r="387" spans="11:12" x14ac:dyDescent="0.3">
      <c r="K387" s="4">
        <v>386</v>
      </c>
      <c r="L387" s="17">
        <v>-2416.0214292671731</v>
      </c>
    </row>
    <row r="388" spans="11:12" x14ac:dyDescent="0.3">
      <c r="K388" s="4">
        <v>387</v>
      </c>
      <c r="L388" s="17">
        <v>1177.3981341985934</v>
      </c>
    </row>
    <row r="389" spans="11:12" x14ac:dyDescent="0.3">
      <c r="K389" s="4">
        <v>388</v>
      </c>
      <c r="L389" s="17">
        <v>-6248.3763099088992</v>
      </c>
    </row>
    <row r="390" spans="11:12" x14ac:dyDescent="0.3">
      <c r="K390" s="4">
        <v>389</v>
      </c>
      <c r="L390" s="17">
        <v>-4033.2052368479699</v>
      </c>
    </row>
    <row r="391" spans="11:12" x14ac:dyDescent="0.3">
      <c r="K391" s="4">
        <v>390</v>
      </c>
      <c r="L391" s="17">
        <v>-3763.4533417988869</v>
      </c>
    </row>
    <row r="392" spans="11:12" x14ac:dyDescent="0.3">
      <c r="K392" s="4">
        <v>391</v>
      </c>
      <c r="L392" s="17">
        <v>2489.2050037620706</v>
      </c>
    </row>
    <row r="393" spans="11:12" x14ac:dyDescent="0.3">
      <c r="K393" s="4">
        <v>392</v>
      </c>
      <c r="L393" s="17">
        <v>4723.9033711988941</v>
      </c>
    </row>
    <row r="394" spans="11:12" x14ac:dyDescent="0.3">
      <c r="K394" s="4">
        <v>393</v>
      </c>
      <c r="L394" s="17">
        <v>-1955.105702807441</v>
      </c>
    </row>
    <row r="395" spans="11:12" x14ac:dyDescent="0.3">
      <c r="K395" s="4">
        <v>394</v>
      </c>
      <c r="L395" s="17">
        <v>6166.5775607998294</v>
      </c>
    </row>
    <row r="396" spans="11:12" x14ac:dyDescent="0.3">
      <c r="K396" s="4">
        <v>395</v>
      </c>
      <c r="L396" s="17">
        <v>-2417.1766491609478</v>
      </c>
    </row>
    <row r="397" spans="11:12" x14ac:dyDescent="0.3">
      <c r="K397" s="4">
        <v>396</v>
      </c>
      <c r="L397" s="17">
        <v>2586.3379340078463</v>
      </c>
    </row>
    <row r="398" spans="11:12" x14ac:dyDescent="0.3">
      <c r="K398" s="4">
        <v>397</v>
      </c>
      <c r="L398" s="17">
        <v>9152.9231430336349</v>
      </c>
    </row>
    <row r="399" spans="11:12" x14ac:dyDescent="0.3">
      <c r="K399" s="4">
        <v>398</v>
      </c>
      <c r="L399" s="17">
        <v>1492.0394120565729</v>
      </c>
    </row>
    <row r="400" spans="11:12" x14ac:dyDescent="0.3">
      <c r="K400" s="4">
        <v>399</v>
      </c>
      <c r="L400" s="17">
        <v>-1416.8508634159468</v>
      </c>
    </row>
    <row r="401" spans="11:12" x14ac:dyDescent="0.3">
      <c r="K401" s="4">
        <v>400</v>
      </c>
      <c r="L401" s="17">
        <v>738.67676741323612</v>
      </c>
    </row>
    <row r="402" spans="11:12" x14ac:dyDescent="0.3">
      <c r="K402" s="4">
        <v>401</v>
      </c>
      <c r="L402" s="17">
        <v>1565.9395354048534</v>
      </c>
    </row>
    <row r="403" spans="11:12" x14ac:dyDescent="0.3">
      <c r="K403" s="4">
        <v>402</v>
      </c>
      <c r="L403" s="17">
        <v>1706.2157050550036</v>
      </c>
    </row>
    <row r="404" spans="11:12" x14ac:dyDescent="0.3">
      <c r="K404" s="4">
        <v>403</v>
      </c>
      <c r="L404" s="17">
        <v>-1650.6898156462503</v>
      </c>
    </row>
    <row r="405" spans="11:12" x14ac:dyDescent="0.3">
      <c r="K405" s="4">
        <v>404</v>
      </c>
      <c r="L405" s="17">
        <v>1544.2339997262923</v>
      </c>
    </row>
    <row r="406" spans="11:12" x14ac:dyDescent="0.3">
      <c r="K406" s="4">
        <v>405</v>
      </c>
      <c r="L406" s="17">
        <v>-1525.7265871199972</v>
      </c>
    </row>
    <row r="407" spans="11:12" x14ac:dyDescent="0.3">
      <c r="K407" s="4">
        <v>406</v>
      </c>
      <c r="L407" s="17">
        <v>3562.2724535621269</v>
      </c>
    </row>
    <row r="408" spans="11:12" x14ac:dyDescent="0.3">
      <c r="K408" s="4">
        <v>407</v>
      </c>
      <c r="L408" s="17">
        <v>-1380.2364304059613</v>
      </c>
    </row>
    <row r="409" spans="11:12" x14ac:dyDescent="0.3">
      <c r="K409" s="4">
        <v>408</v>
      </c>
      <c r="L409" s="17">
        <v>1804.3024031274635</v>
      </c>
    </row>
    <row r="410" spans="11:12" x14ac:dyDescent="0.3">
      <c r="K410" s="4">
        <v>409</v>
      </c>
      <c r="L410" s="17">
        <v>3277.0969923157263</v>
      </c>
    </row>
    <row r="411" spans="11:12" x14ac:dyDescent="0.3">
      <c r="K411" s="4">
        <v>410</v>
      </c>
      <c r="L411" s="17">
        <v>-366.64506213088589</v>
      </c>
    </row>
    <row r="412" spans="11:12" x14ac:dyDescent="0.3">
      <c r="K412" s="4">
        <v>411</v>
      </c>
      <c r="L412" s="17">
        <v>-2364.9722690650433</v>
      </c>
    </row>
    <row r="413" spans="11:12" x14ac:dyDescent="0.3">
      <c r="K413" s="4">
        <v>412</v>
      </c>
      <c r="L413" s="17">
        <v>1091.7757042624012</v>
      </c>
    </row>
    <row r="414" spans="11:12" x14ac:dyDescent="0.3">
      <c r="K414" s="4">
        <v>413</v>
      </c>
      <c r="L414" s="17">
        <v>-641.39660749517816</v>
      </c>
    </row>
    <row r="415" spans="11:12" x14ac:dyDescent="0.3">
      <c r="K415" s="4">
        <v>414</v>
      </c>
      <c r="L415" s="17">
        <v>-834.78686599250739</v>
      </c>
    </row>
    <row r="416" spans="11:12" x14ac:dyDescent="0.3">
      <c r="K416" s="4">
        <v>415</v>
      </c>
      <c r="L416" s="17">
        <v>-1693.3926474274058</v>
      </c>
    </row>
    <row r="417" spans="11:12" x14ac:dyDescent="0.3">
      <c r="K417" s="4">
        <v>416</v>
      </c>
      <c r="L417" s="17">
        <v>-2027.1566695034408</v>
      </c>
    </row>
    <row r="418" spans="11:12" x14ac:dyDescent="0.3">
      <c r="K418" s="4">
        <v>417</v>
      </c>
      <c r="L418" s="17">
        <v>1156.6649009196619</v>
      </c>
    </row>
    <row r="419" spans="11:12" x14ac:dyDescent="0.3">
      <c r="K419" s="4">
        <v>418</v>
      </c>
      <c r="L419" s="17">
        <v>-353.55782875559356</v>
      </c>
    </row>
    <row r="420" spans="11:12" x14ac:dyDescent="0.3">
      <c r="K420" s="4">
        <v>419</v>
      </c>
      <c r="L420" s="17">
        <v>-5606.5791197162471</v>
      </c>
    </row>
    <row r="421" spans="11:12" x14ac:dyDescent="0.3">
      <c r="K421" s="4">
        <v>420</v>
      </c>
      <c r="L421" s="17">
        <v>3815.8736144187174</v>
      </c>
    </row>
    <row r="422" spans="11:12" x14ac:dyDescent="0.3">
      <c r="K422" s="4">
        <v>421</v>
      </c>
      <c r="L422" s="17">
        <v>-346.30602786823846</v>
      </c>
    </row>
    <row r="423" spans="11:12" x14ac:dyDescent="0.3">
      <c r="K423" s="4">
        <v>422</v>
      </c>
      <c r="L423" s="17">
        <v>-1872.6057472959292</v>
      </c>
    </row>
    <row r="424" spans="11:12" x14ac:dyDescent="0.3">
      <c r="K424" s="4">
        <v>423</v>
      </c>
      <c r="L424" s="17">
        <v>668.02649900026154</v>
      </c>
    </row>
    <row r="425" spans="11:12" x14ac:dyDescent="0.3">
      <c r="K425" s="4">
        <v>424</v>
      </c>
      <c r="L425" s="17">
        <v>88.983298481782697</v>
      </c>
    </row>
    <row r="426" spans="11:12" x14ac:dyDescent="0.3">
      <c r="K426" s="4">
        <v>425</v>
      </c>
      <c r="L426" s="17">
        <v>3295.2419623894125</v>
      </c>
    </row>
    <row r="427" spans="11:12" x14ac:dyDescent="0.3">
      <c r="K427" s="4">
        <v>426</v>
      </c>
      <c r="L427" s="17">
        <v>-1805.4985756396718</v>
      </c>
    </row>
    <row r="428" spans="11:12" x14ac:dyDescent="0.3">
      <c r="K428" s="4">
        <v>427</v>
      </c>
      <c r="L428" s="17">
        <v>-3844.7723791850367</v>
      </c>
    </row>
    <row r="429" spans="11:12" x14ac:dyDescent="0.3">
      <c r="K429" s="4">
        <v>428</v>
      </c>
      <c r="L429" s="17">
        <v>6193.0757120248545</v>
      </c>
    </row>
    <row r="430" spans="11:12" x14ac:dyDescent="0.3">
      <c r="K430" s="4">
        <v>429</v>
      </c>
      <c r="L430" s="17">
        <v>-1480.4966165714877</v>
      </c>
    </row>
    <row r="431" spans="11:12" x14ac:dyDescent="0.3">
      <c r="K431" s="4">
        <v>430</v>
      </c>
      <c r="L431" s="17">
        <v>-5301.4797937449275</v>
      </c>
    </row>
    <row r="432" spans="11:12" x14ac:dyDescent="0.3">
      <c r="K432" s="4">
        <v>431</v>
      </c>
      <c r="L432" s="17">
        <v>-2293.0362064724172</v>
      </c>
    </row>
    <row r="433" spans="11:12" x14ac:dyDescent="0.3">
      <c r="K433" s="4">
        <v>432</v>
      </c>
      <c r="L433" s="17">
        <v>-1999.8485570233004</v>
      </c>
    </row>
    <row r="434" spans="11:12" x14ac:dyDescent="0.3">
      <c r="K434" s="4">
        <v>433</v>
      </c>
      <c r="L434" s="17">
        <v>2787.3876881025294</v>
      </c>
    </row>
    <row r="435" spans="11:12" x14ac:dyDescent="0.3">
      <c r="K435" s="4">
        <v>434</v>
      </c>
      <c r="L435" s="17">
        <v>-3447.6352966315417</v>
      </c>
    </row>
    <row r="436" spans="11:12" x14ac:dyDescent="0.3">
      <c r="K436" s="4">
        <v>435</v>
      </c>
      <c r="L436" s="17">
        <v>-8077.543131093269</v>
      </c>
    </row>
    <row r="437" spans="11:12" x14ac:dyDescent="0.3">
      <c r="K437" s="4">
        <v>436</v>
      </c>
      <c r="L437" s="17">
        <v>-5310.9659059011883</v>
      </c>
    </row>
    <row r="438" spans="11:12" x14ac:dyDescent="0.3">
      <c r="K438" s="4">
        <v>437</v>
      </c>
      <c r="L438" s="17">
        <v>4578.3780674126992</v>
      </c>
    </row>
    <row r="439" spans="11:12" x14ac:dyDescent="0.3">
      <c r="K439" s="4">
        <v>438</v>
      </c>
      <c r="L439" s="17">
        <v>-2196.7823838255676</v>
      </c>
    </row>
    <row r="440" spans="11:12" x14ac:dyDescent="0.3">
      <c r="K440" s="4">
        <v>439</v>
      </c>
      <c r="L440" s="17">
        <v>668.5338491364721</v>
      </c>
    </row>
    <row r="441" spans="11:12" x14ac:dyDescent="0.3">
      <c r="K441" s="4">
        <v>440</v>
      </c>
      <c r="L441" s="17">
        <v>-5461.8554016715025</v>
      </c>
    </row>
    <row r="442" spans="11:12" x14ac:dyDescent="0.3">
      <c r="K442" s="4">
        <v>441</v>
      </c>
      <c r="L442" s="17">
        <v>-5836.4954037089137</v>
      </c>
    </row>
    <row r="443" spans="11:12" x14ac:dyDescent="0.3">
      <c r="K443" s="4">
        <v>442</v>
      </c>
      <c r="L443" s="17">
        <v>-2639.2422615549367</v>
      </c>
    </row>
    <row r="444" spans="11:12" x14ac:dyDescent="0.3">
      <c r="K444" s="4">
        <v>443</v>
      </c>
      <c r="L444" s="17">
        <v>-3600.4854266594348</v>
      </c>
    </row>
    <row r="445" spans="11:12" x14ac:dyDescent="0.3">
      <c r="K445" s="4">
        <v>444</v>
      </c>
      <c r="L445" s="17">
        <v>5014.7865768860866</v>
      </c>
    </row>
    <row r="446" spans="11:12" x14ac:dyDescent="0.3">
      <c r="K446" s="4">
        <v>445</v>
      </c>
      <c r="L446" s="17">
        <v>1744.1651496091849</v>
      </c>
    </row>
    <row r="447" spans="11:12" x14ac:dyDescent="0.3">
      <c r="K447" s="4">
        <v>446</v>
      </c>
      <c r="L447" s="17">
        <v>-5331.7132621105748</v>
      </c>
    </row>
    <row r="448" spans="11:12" x14ac:dyDescent="0.3">
      <c r="K448" s="4">
        <v>447</v>
      </c>
      <c r="L448" s="17">
        <v>-484.76104892289368</v>
      </c>
    </row>
    <row r="449" spans="11:12" x14ac:dyDescent="0.3">
      <c r="K449" s="4">
        <v>448</v>
      </c>
      <c r="L449" s="17">
        <v>5603.6581494181019</v>
      </c>
    </row>
    <row r="450" spans="11:12" x14ac:dyDescent="0.3">
      <c r="K450" s="4">
        <v>449</v>
      </c>
      <c r="L450" s="17">
        <v>4566.9744098317233</v>
      </c>
    </row>
    <row r="451" spans="11:12" x14ac:dyDescent="0.3">
      <c r="K451" s="4">
        <v>450</v>
      </c>
      <c r="L451" s="17">
        <v>6405.5004852515949</v>
      </c>
    </row>
    <row r="452" spans="11:12" x14ac:dyDescent="0.3">
      <c r="K452" s="4">
        <v>451</v>
      </c>
      <c r="L452" s="17">
        <v>-1463.2045228982211</v>
      </c>
    </row>
    <row r="453" spans="11:12" x14ac:dyDescent="0.3">
      <c r="K453" s="4">
        <v>452</v>
      </c>
      <c r="L453" s="17">
        <v>1100.7036597625709</v>
      </c>
    </row>
    <row r="454" spans="11:12" x14ac:dyDescent="0.3">
      <c r="K454" s="4">
        <v>453</v>
      </c>
      <c r="L454" s="17">
        <v>-2884.7987000999401</v>
      </c>
    </row>
    <row r="455" spans="11:12" x14ac:dyDescent="0.3">
      <c r="K455" s="4">
        <v>454</v>
      </c>
      <c r="L455" s="17">
        <v>-10621.234589210793</v>
      </c>
    </row>
    <row r="456" spans="11:12" x14ac:dyDescent="0.3">
      <c r="K456" s="4">
        <v>455</v>
      </c>
      <c r="L456" s="17">
        <v>-11865.612645572954</v>
      </c>
    </row>
    <row r="457" spans="11:12" x14ac:dyDescent="0.3">
      <c r="K457" s="4">
        <v>456</v>
      </c>
      <c r="L457" s="17">
        <v>2494.6981158196727</v>
      </c>
    </row>
    <row r="458" spans="11:12" x14ac:dyDescent="0.3">
      <c r="K458" s="4">
        <v>457</v>
      </c>
      <c r="L458" s="17">
        <v>-2908.0351213253471</v>
      </c>
    </row>
    <row r="459" spans="11:12" x14ac:dyDescent="0.3">
      <c r="K459" s="4">
        <v>458</v>
      </c>
      <c r="L459" s="17">
        <v>-124.98783173103988</v>
      </c>
    </row>
    <row r="460" spans="11:12" x14ac:dyDescent="0.3">
      <c r="K460" s="4">
        <v>459</v>
      </c>
      <c r="L460" s="17">
        <v>5189.1704184447999</v>
      </c>
    </row>
    <row r="461" spans="11:12" x14ac:dyDescent="0.3">
      <c r="K461" s="4">
        <v>460</v>
      </c>
      <c r="L461" s="17">
        <v>-1404.670136237336</v>
      </c>
    </row>
    <row r="462" spans="11:12" x14ac:dyDescent="0.3">
      <c r="K462" s="4">
        <v>461</v>
      </c>
      <c r="L462" s="17">
        <v>8298.5106013005534</v>
      </c>
    </row>
    <row r="463" spans="11:12" x14ac:dyDescent="0.3">
      <c r="K463" s="4">
        <v>462</v>
      </c>
      <c r="L463" s="17">
        <v>-3641.9230209838292</v>
      </c>
    </row>
    <row r="464" spans="11:12" x14ac:dyDescent="0.3">
      <c r="K464" s="4">
        <v>463</v>
      </c>
      <c r="L464" s="17">
        <v>1647.9623881859152</v>
      </c>
    </row>
    <row r="465" spans="11:12" x14ac:dyDescent="0.3">
      <c r="K465" s="4">
        <v>464</v>
      </c>
      <c r="L465" s="17">
        <v>1919.4630429140025</v>
      </c>
    </row>
    <row r="466" spans="11:12" x14ac:dyDescent="0.3">
      <c r="K466" s="4">
        <v>465</v>
      </c>
      <c r="L466" s="17">
        <v>-5009.8949067062831</v>
      </c>
    </row>
    <row r="467" spans="11:12" x14ac:dyDescent="0.3">
      <c r="K467" s="4">
        <v>466</v>
      </c>
      <c r="L467" s="17">
        <v>-4110.5758633615033</v>
      </c>
    </row>
    <row r="468" spans="11:12" x14ac:dyDescent="0.3">
      <c r="K468" s="4">
        <v>467</v>
      </c>
      <c r="L468" s="17">
        <v>-1335.6621294193226</v>
      </c>
    </row>
    <row r="469" spans="11:12" x14ac:dyDescent="0.3">
      <c r="K469" s="4">
        <v>468</v>
      </c>
      <c r="L469" s="17">
        <v>-218.63417981166222</v>
      </c>
    </row>
    <row r="470" spans="11:12" x14ac:dyDescent="0.3">
      <c r="K470" s="4">
        <v>469</v>
      </c>
      <c r="L470" s="17">
        <v>192.67532810313043</v>
      </c>
    </row>
    <row r="471" spans="11:12" x14ac:dyDescent="0.3">
      <c r="K471" s="4">
        <v>470</v>
      </c>
      <c r="L471" s="17">
        <v>-635.29158379097021</v>
      </c>
    </row>
    <row r="472" spans="11:12" x14ac:dyDescent="0.3">
      <c r="K472" s="4">
        <v>471</v>
      </c>
      <c r="L472" s="17">
        <v>930.80324812421691</v>
      </c>
    </row>
    <row r="473" spans="11:12" x14ac:dyDescent="0.3">
      <c r="K473" s="4">
        <v>472</v>
      </c>
      <c r="L473" s="17">
        <v>1501.5996429108011</v>
      </c>
    </row>
    <row r="474" spans="11:12" x14ac:dyDescent="0.3">
      <c r="K474" s="4">
        <v>473</v>
      </c>
      <c r="L474" s="17">
        <v>2993.9709058219769</v>
      </c>
    </row>
    <row r="475" spans="11:12" x14ac:dyDescent="0.3">
      <c r="K475" s="4">
        <v>474</v>
      </c>
      <c r="L475" s="17">
        <v>-3541.9339900502819</v>
      </c>
    </row>
    <row r="476" spans="11:12" x14ac:dyDescent="0.3">
      <c r="K476" s="4">
        <v>475</v>
      </c>
      <c r="L476" s="17">
        <v>2009.6931983074037</v>
      </c>
    </row>
    <row r="477" spans="11:12" x14ac:dyDescent="0.3">
      <c r="K477" s="4">
        <v>476</v>
      </c>
      <c r="L477" s="17">
        <v>5825.0292807632904</v>
      </c>
    </row>
    <row r="478" spans="11:12" x14ac:dyDescent="0.3">
      <c r="K478" s="4">
        <v>477</v>
      </c>
      <c r="L478" s="17">
        <v>-441.23243281489562</v>
      </c>
    </row>
    <row r="479" spans="11:12" x14ac:dyDescent="0.3">
      <c r="K479" s="4">
        <v>478</v>
      </c>
      <c r="L479" s="17">
        <v>1285.054639622585</v>
      </c>
    </row>
    <row r="480" spans="11:12" x14ac:dyDescent="0.3">
      <c r="K480" s="4">
        <v>479</v>
      </c>
      <c r="L480" s="17">
        <v>3071.5016312966936</v>
      </c>
    </row>
    <row r="481" spans="11:12" x14ac:dyDescent="0.3">
      <c r="K481" s="4">
        <v>480</v>
      </c>
      <c r="L481" s="17">
        <v>-1882.4651046166337</v>
      </c>
    </row>
    <row r="482" spans="11:12" x14ac:dyDescent="0.3">
      <c r="K482" s="4">
        <v>481</v>
      </c>
      <c r="L482" s="17">
        <v>-1122.0858414465608</v>
      </c>
    </row>
    <row r="483" spans="11:12" x14ac:dyDescent="0.3">
      <c r="K483" s="4">
        <v>482</v>
      </c>
      <c r="L483" s="17">
        <v>4838.8778216319452</v>
      </c>
    </row>
    <row r="484" spans="11:12" x14ac:dyDescent="0.3">
      <c r="K484" s="4">
        <v>483</v>
      </c>
      <c r="L484" s="17">
        <v>787.50787633970276</v>
      </c>
    </row>
    <row r="485" spans="11:12" x14ac:dyDescent="0.3">
      <c r="K485" s="4">
        <v>484</v>
      </c>
      <c r="L485" s="17">
        <v>-293.22358810525407</v>
      </c>
    </row>
    <row r="486" spans="11:12" x14ac:dyDescent="0.3">
      <c r="K486" s="4">
        <v>485</v>
      </c>
      <c r="L486" s="17">
        <v>-4103.5623566576978</v>
      </c>
    </row>
    <row r="487" spans="11:12" x14ac:dyDescent="0.3">
      <c r="K487" s="4">
        <v>486</v>
      </c>
      <c r="L487" s="17">
        <v>2832.6553981947591</v>
      </c>
    </row>
    <row r="488" spans="11:12" x14ac:dyDescent="0.3">
      <c r="K488" s="4">
        <v>487</v>
      </c>
      <c r="L488" s="17">
        <v>3779.3674156603261</v>
      </c>
    </row>
    <row r="489" spans="11:12" x14ac:dyDescent="0.3">
      <c r="K489" s="4">
        <v>488</v>
      </c>
      <c r="L489" s="17">
        <v>-354.2345449278705</v>
      </c>
    </row>
    <row r="490" spans="11:12" x14ac:dyDescent="0.3">
      <c r="K490" s="4">
        <v>489</v>
      </c>
      <c r="L490" s="17">
        <v>2412.52768044198</v>
      </c>
    </row>
    <row r="491" spans="11:12" x14ac:dyDescent="0.3">
      <c r="K491" s="4">
        <v>490</v>
      </c>
      <c r="L491" s="17">
        <v>2192.0335220378684</v>
      </c>
    </row>
    <row r="492" spans="11:12" x14ac:dyDescent="0.3">
      <c r="K492" s="4">
        <v>491</v>
      </c>
      <c r="L492" s="17">
        <v>-3603.1343689736191</v>
      </c>
    </row>
    <row r="493" spans="11:12" x14ac:dyDescent="0.3">
      <c r="K493" s="4">
        <v>492</v>
      </c>
      <c r="L493" s="17">
        <v>3227.2958589735381</v>
      </c>
    </row>
    <row r="494" spans="11:12" x14ac:dyDescent="0.3">
      <c r="K494" s="4">
        <v>493</v>
      </c>
      <c r="L494" s="17">
        <v>-2683.0889532071351</v>
      </c>
    </row>
    <row r="495" spans="11:12" x14ac:dyDescent="0.3">
      <c r="K495" s="4">
        <v>494</v>
      </c>
      <c r="L495" s="17">
        <v>-2709.9075776363261</v>
      </c>
    </row>
    <row r="496" spans="11:12" x14ac:dyDescent="0.3">
      <c r="K496" s="4">
        <v>495</v>
      </c>
      <c r="L496" s="17">
        <v>2691.6858844557223</v>
      </c>
    </row>
    <row r="497" spans="11:12" x14ac:dyDescent="0.3">
      <c r="K497" s="4">
        <v>496</v>
      </c>
      <c r="L497" s="17">
        <v>-2566.2786411266643</v>
      </c>
    </row>
    <row r="498" spans="11:12" x14ac:dyDescent="0.3">
      <c r="K498" s="4">
        <v>497</v>
      </c>
      <c r="L498" s="17">
        <v>6302.6899980306998</v>
      </c>
    </row>
    <row r="499" spans="11:12" x14ac:dyDescent="0.3">
      <c r="K499" s="4">
        <v>498</v>
      </c>
      <c r="L499" s="17">
        <v>-2683.0428230503535</v>
      </c>
    </row>
    <row r="500" spans="11:12" x14ac:dyDescent="0.3">
      <c r="K500" s="4">
        <v>499</v>
      </c>
      <c r="L500" s="17">
        <v>53.748768834256339</v>
      </c>
    </row>
    <row r="501" spans="11:12" x14ac:dyDescent="0.3">
      <c r="K501" s="4">
        <v>500</v>
      </c>
      <c r="L501" s="17">
        <v>1011.2026954932987</v>
      </c>
    </row>
    <row r="502" spans="11:12" x14ac:dyDescent="0.3">
      <c r="K502" s="4">
        <v>501</v>
      </c>
      <c r="L502" s="17">
        <v>10940.934727389378</v>
      </c>
    </row>
    <row r="503" spans="11:12" x14ac:dyDescent="0.3">
      <c r="K503" s="4">
        <v>502</v>
      </c>
      <c r="L503" s="17">
        <v>2658.9181073382611</v>
      </c>
    </row>
    <row r="504" spans="11:12" x14ac:dyDescent="0.3">
      <c r="K504" s="4">
        <v>503</v>
      </c>
      <c r="L504" s="17">
        <v>187.26293295113493</v>
      </c>
    </row>
    <row r="505" spans="11:12" x14ac:dyDescent="0.3">
      <c r="K505" s="4">
        <v>504</v>
      </c>
      <c r="L505" s="17">
        <v>-2556.1091951257167</v>
      </c>
    </row>
    <row r="506" spans="11:12" x14ac:dyDescent="0.3">
      <c r="K506" s="4">
        <v>505</v>
      </c>
      <c r="L506" s="17">
        <v>-2943.0209991380248</v>
      </c>
    </row>
    <row r="507" spans="11:12" x14ac:dyDescent="0.3">
      <c r="K507" s="4">
        <v>506</v>
      </c>
      <c r="L507" s="17">
        <v>2468.477192163703</v>
      </c>
    </row>
    <row r="508" spans="11:12" x14ac:dyDescent="0.3">
      <c r="K508" s="4">
        <v>507</v>
      </c>
      <c r="L508" s="17">
        <v>613.23806609952226</v>
      </c>
    </row>
    <row r="509" spans="11:12" x14ac:dyDescent="0.3">
      <c r="K509" s="4">
        <v>508</v>
      </c>
      <c r="L509" s="17">
        <v>5260.7231596586462</v>
      </c>
    </row>
    <row r="510" spans="11:12" x14ac:dyDescent="0.3">
      <c r="K510" s="4">
        <v>509</v>
      </c>
      <c r="L510" s="17">
        <v>-874.76725910223604</v>
      </c>
    </row>
    <row r="511" spans="11:12" x14ac:dyDescent="0.3">
      <c r="K511" s="4">
        <v>510</v>
      </c>
      <c r="L511" s="17">
        <v>-1848.1242630847423</v>
      </c>
    </row>
    <row r="512" spans="11:12" x14ac:dyDescent="0.3">
      <c r="K512" s="4">
        <v>511</v>
      </c>
      <c r="L512" s="17">
        <v>2924.7444379664939</v>
      </c>
    </row>
    <row r="513" spans="11:12" x14ac:dyDescent="0.3">
      <c r="K513" s="4">
        <v>512</v>
      </c>
      <c r="L513" s="17">
        <v>5096.8968812288394</v>
      </c>
    </row>
    <row r="514" spans="11:12" x14ac:dyDescent="0.3">
      <c r="K514" s="4">
        <v>513</v>
      </c>
      <c r="L514" s="17">
        <v>2155.9476774458913</v>
      </c>
    </row>
    <row r="515" spans="11:12" x14ac:dyDescent="0.3">
      <c r="K515" s="4">
        <v>514</v>
      </c>
      <c r="L515" s="17">
        <v>-3672.2374084121943</v>
      </c>
    </row>
    <row r="516" spans="11:12" x14ac:dyDescent="0.3">
      <c r="K516" s="4">
        <v>515</v>
      </c>
      <c r="L516" s="17">
        <v>-19.131808723827817</v>
      </c>
    </row>
    <row r="517" spans="11:12" x14ac:dyDescent="0.3">
      <c r="K517" s="4">
        <v>516</v>
      </c>
      <c r="L517" s="17">
        <v>7291.4310903843643</v>
      </c>
    </row>
    <row r="518" spans="11:12" x14ac:dyDescent="0.3">
      <c r="K518" s="4">
        <v>517</v>
      </c>
      <c r="L518" s="17">
        <v>-2707.0938772486725</v>
      </c>
    </row>
    <row r="519" spans="11:12" x14ac:dyDescent="0.3">
      <c r="K519" s="4">
        <v>518</v>
      </c>
      <c r="L519" s="17">
        <v>-5794.1840127331898</v>
      </c>
    </row>
    <row r="520" spans="11:12" x14ac:dyDescent="0.3">
      <c r="K520" s="4">
        <v>519</v>
      </c>
      <c r="L520" s="17">
        <v>2812.8777997100624</v>
      </c>
    </row>
    <row r="521" spans="11:12" x14ac:dyDescent="0.3">
      <c r="K521" s="4">
        <v>520</v>
      </c>
      <c r="L521" s="17">
        <v>-5344.2254996587071</v>
      </c>
    </row>
    <row r="522" spans="11:12" x14ac:dyDescent="0.3">
      <c r="K522" s="4">
        <v>521</v>
      </c>
      <c r="L522" s="17">
        <v>-1081.3487581376717</v>
      </c>
    </row>
    <row r="523" spans="11:12" x14ac:dyDescent="0.3">
      <c r="K523" s="4">
        <v>522</v>
      </c>
      <c r="L523" s="17">
        <v>6727.9309908067326</v>
      </c>
    </row>
    <row r="524" spans="11:12" x14ac:dyDescent="0.3">
      <c r="K524" s="4">
        <v>523</v>
      </c>
      <c r="L524" s="17">
        <v>1597.759627671576</v>
      </c>
    </row>
    <row r="525" spans="11:12" x14ac:dyDescent="0.3">
      <c r="K525" s="4">
        <v>524</v>
      </c>
      <c r="L525" s="17">
        <v>1124.4260592461135</v>
      </c>
    </row>
    <row r="526" spans="11:12" x14ac:dyDescent="0.3">
      <c r="K526" s="4">
        <v>525</v>
      </c>
      <c r="L526" s="17">
        <v>1314.3261987501226</v>
      </c>
    </row>
    <row r="527" spans="11:12" x14ac:dyDescent="0.3">
      <c r="K527" s="4">
        <v>526</v>
      </c>
      <c r="L527" s="17">
        <v>-462.90620599462352</v>
      </c>
    </row>
    <row r="528" spans="11:12" x14ac:dyDescent="0.3">
      <c r="K528" s="4">
        <v>527</v>
      </c>
      <c r="L528" s="17">
        <v>6038.9365248207232</v>
      </c>
    </row>
    <row r="529" spans="11:12" x14ac:dyDescent="0.3">
      <c r="K529" s="4">
        <v>528</v>
      </c>
      <c r="L529" s="17">
        <v>-166.28690636876479</v>
      </c>
    </row>
    <row r="530" spans="11:12" x14ac:dyDescent="0.3">
      <c r="K530" s="4">
        <v>529</v>
      </c>
      <c r="L530" s="17">
        <v>7363.8453148614408</v>
      </c>
    </row>
    <row r="531" spans="11:12" x14ac:dyDescent="0.3">
      <c r="K531" s="4">
        <v>530</v>
      </c>
      <c r="L531" s="17">
        <v>-1458.2853722566888</v>
      </c>
    </row>
    <row r="532" spans="11:12" x14ac:dyDescent="0.3">
      <c r="K532" s="4">
        <v>531</v>
      </c>
      <c r="L532" s="17">
        <v>-1684.7698152755495</v>
      </c>
    </row>
    <row r="533" spans="11:12" x14ac:dyDescent="0.3">
      <c r="K533" s="4">
        <v>532</v>
      </c>
      <c r="L533" s="17">
        <v>-1796.9751301681174</v>
      </c>
    </row>
    <row r="534" spans="11:12" x14ac:dyDescent="0.3">
      <c r="K534" s="4">
        <v>533</v>
      </c>
      <c r="L534" s="17">
        <v>1952.8703370791677</v>
      </c>
    </row>
    <row r="535" spans="11:12" x14ac:dyDescent="0.3">
      <c r="K535" s="4">
        <v>534</v>
      </c>
      <c r="L535" s="17">
        <v>-3151.7629465203604</v>
      </c>
    </row>
    <row r="536" spans="11:12" x14ac:dyDescent="0.3">
      <c r="K536" s="4">
        <v>535</v>
      </c>
      <c r="L536" s="17">
        <v>-3943.0043210509921</v>
      </c>
    </row>
    <row r="537" spans="11:12" x14ac:dyDescent="0.3">
      <c r="K537" s="4">
        <v>536</v>
      </c>
      <c r="L537" s="17">
        <v>3096.5381788466493</v>
      </c>
    </row>
    <row r="538" spans="11:12" x14ac:dyDescent="0.3">
      <c r="K538" s="4">
        <v>537</v>
      </c>
      <c r="L538" s="17">
        <v>-1692.3892556709832</v>
      </c>
    </row>
    <row r="539" spans="11:12" x14ac:dyDescent="0.3">
      <c r="K539" s="4">
        <v>538</v>
      </c>
      <c r="L539" s="17">
        <v>2819.3168691242545</v>
      </c>
    </row>
    <row r="540" spans="11:12" x14ac:dyDescent="0.3">
      <c r="K540" s="4">
        <v>539</v>
      </c>
      <c r="L540" s="17">
        <v>884.31775819763652</v>
      </c>
    </row>
    <row r="541" spans="11:12" x14ac:dyDescent="0.3">
      <c r="K541" s="4">
        <v>540</v>
      </c>
      <c r="L541" s="17">
        <v>985.55992174324547</v>
      </c>
    </row>
    <row r="542" spans="11:12" x14ac:dyDescent="0.3">
      <c r="K542" s="4">
        <v>541</v>
      </c>
      <c r="L542" s="17">
        <v>-4069.3967968277316</v>
      </c>
    </row>
    <row r="543" spans="11:12" x14ac:dyDescent="0.3">
      <c r="K543" s="4">
        <v>542</v>
      </c>
      <c r="L543" s="17">
        <v>929.20766599946069</v>
      </c>
    </row>
    <row r="544" spans="11:12" x14ac:dyDescent="0.3">
      <c r="K544" s="4">
        <v>543</v>
      </c>
      <c r="L544" s="17">
        <v>599.3198084648061</v>
      </c>
    </row>
    <row r="545" spans="11:12" x14ac:dyDescent="0.3">
      <c r="K545" s="4">
        <v>544</v>
      </c>
      <c r="L545" s="17">
        <v>-4396.601530534178</v>
      </c>
    </row>
    <row r="546" spans="11:12" x14ac:dyDescent="0.3">
      <c r="K546" s="4">
        <v>545</v>
      </c>
      <c r="L546" s="17">
        <v>926.78035918631736</v>
      </c>
    </row>
    <row r="547" spans="11:12" x14ac:dyDescent="0.3">
      <c r="K547" s="4">
        <v>546</v>
      </c>
      <c r="L547" s="17">
        <v>-5401.216486155995</v>
      </c>
    </row>
    <row r="548" spans="11:12" x14ac:dyDescent="0.3">
      <c r="K548" s="4">
        <v>547</v>
      </c>
      <c r="L548" s="17">
        <v>559.24472541802402</v>
      </c>
    </row>
    <row r="549" spans="11:12" x14ac:dyDescent="0.3">
      <c r="K549" s="4">
        <v>548</v>
      </c>
      <c r="L549" s="17">
        <v>-3375.7841972537867</v>
      </c>
    </row>
    <row r="550" spans="11:12" x14ac:dyDescent="0.3">
      <c r="K550" s="4">
        <v>549</v>
      </c>
      <c r="L550" s="17">
        <v>2202.2347857703621</v>
      </c>
    </row>
    <row r="551" spans="11:12" x14ac:dyDescent="0.3">
      <c r="K551" s="4">
        <v>550</v>
      </c>
      <c r="L551" s="17">
        <v>-6518.7168919621472</v>
      </c>
    </row>
    <row r="552" spans="11:12" x14ac:dyDescent="0.3">
      <c r="K552" s="4">
        <v>551</v>
      </c>
      <c r="L552" s="17">
        <v>-95.811908032097733</v>
      </c>
    </row>
    <row r="553" spans="11:12" x14ac:dyDescent="0.3">
      <c r="K553" s="4">
        <v>552</v>
      </c>
      <c r="L553" s="17">
        <v>-3963.0697894540726</v>
      </c>
    </row>
    <row r="554" spans="11:12" x14ac:dyDescent="0.3">
      <c r="K554" s="4">
        <v>553</v>
      </c>
      <c r="L554" s="17">
        <v>-2060.3457458554235</v>
      </c>
    </row>
    <row r="555" spans="11:12" x14ac:dyDescent="0.3">
      <c r="K555" s="4">
        <v>554</v>
      </c>
      <c r="L555" s="17">
        <v>-3921.1081712776936</v>
      </c>
    </row>
    <row r="556" spans="11:12" x14ac:dyDescent="0.3">
      <c r="K556" s="4">
        <v>555</v>
      </c>
      <c r="L556" s="17">
        <v>-5542.324665698532</v>
      </c>
    </row>
    <row r="557" spans="11:12" x14ac:dyDescent="0.3">
      <c r="K557" s="4">
        <v>556</v>
      </c>
      <c r="L557" s="17">
        <v>-3393.7154539500448</v>
      </c>
    </row>
    <row r="558" spans="11:12" x14ac:dyDescent="0.3">
      <c r="K558" s="4">
        <v>557</v>
      </c>
      <c r="L558" s="17">
        <v>1463.9959630295066</v>
      </c>
    </row>
    <row r="559" spans="11:12" x14ac:dyDescent="0.3">
      <c r="K559" s="4">
        <v>558</v>
      </c>
      <c r="L559" s="17">
        <v>4782.4421565002385</v>
      </c>
    </row>
    <row r="560" spans="11:12" x14ac:dyDescent="0.3">
      <c r="K560" s="4">
        <v>559</v>
      </c>
      <c r="L560" s="17">
        <v>420.676557911251</v>
      </c>
    </row>
    <row r="561" spans="11:12" x14ac:dyDescent="0.3">
      <c r="K561" s="4">
        <v>560</v>
      </c>
      <c r="L561" s="17">
        <v>324.16016139479399</v>
      </c>
    </row>
    <row r="562" spans="11:12" x14ac:dyDescent="0.3">
      <c r="K562" s="4">
        <v>561</v>
      </c>
      <c r="L562" s="17">
        <v>-43.560762481473716</v>
      </c>
    </row>
    <row r="563" spans="11:12" x14ac:dyDescent="0.3">
      <c r="K563" s="4">
        <v>562</v>
      </c>
      <c r="L563" s="17">
        <v>-2839.6908973103132</v>
      </c>
    </row>
    <row r="564" spans="11:12" x14ac:dyDescent="0.3">
      <c r="K564" s="4">
        <v>563</v>
      </c>
      <c r="L564" s="17">
        <v>-100.812329762324</v>
      </c>
    </row>
    <row r="565" spans="11:12" x14ac:dyDescent="0.3">
      <c r="K565" s="4">
        <v>564</v>
      </c>
      <c r="L565" s="17">
        <v>-2439.6938729066969</v>
      </c>
    </row>
    <row r="566" spans="11:12" x14ac:dyDescent="0.3">
      <c r="K566" s="4">
        <v>565</v>
      </c>
      <c r="L566" s="17">
        <v>-3175.1115400149824</v>
      </c>
    </row>
    <row r="567" spans="11:12" x14ac:dyDescent="0.3">
      <c r="K567" s="4">
        <v>566</v>
      </c>
      <c r="L567" s="17">
        <v>2472.2517005623617</v>
      </c>
    </row>
    <row r="568" spans="11:12" x14ac:dyDescent="0.3">
      <c r="K568" s="4">
        <v>567</v>
      </c>
      <c r="L568" s="17">
        <v>-936.44521232695956</v>
      </c>
    </row>
    <row r="569" spans="11:12" x14ac:dyDescent="0.3">
      <c r="K569" s="4">
        <v>568</v>
      </c>
      <c r="L569" s="17">
        <v>106.85948558817853</v>
      </c>
    </row>
    <row r="570" spans="11:12" x14ac:dyDescent="0.3">
      <c r="K570" s="4">
        <v>569</v>
      </c>
      <c r="L570" s="17">
        <v>-4325.5452768800969</v>
      </c>
    </row>
    <row r="571" spans="11:12" x14ac:dyDescent="0.3">
      <c r="K571" s="4">
        <v>570</v>
      </c>
      <c r="L571" s="17">
        <v>3337.4751315461167</v>
      </c>
    </row>
    <row r="572" spans="11:12" x14ac:dyDescent="0.3">
      <c r="K572" s="4">
        <v>571</v>
      </c>
      <c r="L572" s="17">
        <v>-3025.0867933840336</v>
      </c>
    </row>
    <row r="573" spans="11:12" x14ac:dyDescent="0.3">
      <c r="K573" s="4">
        <v>572</v>
      </c>
      <c r="L573" s="17">
        <v>-449.90810706515441</v>
      </c>
    </row>
    <row r="574" spans="11:12" x14ac:dyDescent="0.3">
      <c r="K574" s="4">
        <v>573</v>
      </c>
      <c r="L574" s="17">
        <v>3536.8935137481453</v>
      </c>
    </row>
    <row r="575" spans="11:12" x14ac:dyDescent="0.3">
      <c r="K575" s="4">
        <v>574</v>
      </c>
      <c r="L575" s="17">
        <v>4252.6693167965313</v>
      </c>
    </row>
    <row r="576" spans="11:12" x14ac:dyDescent="0.3">
      <c r="K576" s="4">
        <v>575</v>
      </c>
      <c r="L576" s="17">
        <v>1006.1718974820535</v>
      </c>
    </row>
    <row r="577" spans="11:12" x14ac:dyDescent="0.3">
      <c r="K577" s="4">
        <v>576</v>
      </c>
      <c r="L577" s="17">
        <v>-3942.0589635429237</v>
      </c>
    </row>
    <row r="578" spans="11:12" x14ac:dyDescent="0.3">
      <c r="K578" s="4">
        <v>577</v>
      </c>
      <c r="L578" s="17">
        <v>1902.4999563859715</v>
      </c>
    </row>
    <row r="579" spans="11:12" x14ac:dyDescent="0.3">
      <c r="K579" s="4">
        <v>578</v>
      </c>
      <c r="L579" s="17">
        <v>-1852.1525493465797</v>
      </c>
    </row>
    <row r="580" spans="11:12" x14ac:dyDescent="0.3">
      <c r="K580" s="4">
        <v>579</v>
      </c>
      <c r="L580" s="17">
        <v>-4871.8315070945428</v>
      </c>
    </row>
    <row r="581" spans="11:12" x14ac:dyDescent="0.3">
      <c r="K581" s="4">
        <v>580</v>
      </c>
      <c r="L581" s="17">
        <v>-18.12912680831289</v>
      </c>
    </row>
    <row r="582" spans="11:12" x14ac:dyDescent="0.3">
      <c r="K582" s="4">
        <v>581</v>
      </c>
      <c r="L582" s="17">
        <v>-1193.622212882377</v>
      </c>
    </row>
    <row r="583" spans="11:12" x14ac:dyDescent="0.3">
      <c r="K583" s="4">
        <v>582</v>
      </c>
      <c r="L583" s="17">
        <v>-10782.303329200602</v>
      </c>
    </row>
    <row r="584" spans="11:12" x14ac:dyDescent="0.3">
      <c r="K584" s="4">
        <v>583</v>
      </c>
      <c r="L584" s="17">
        <v>2804.7765466186656</v>
      </c>
    </row>
    <row r="585" spans="11:12" x14ac:dyDescent="0.3">
      <c r="K585" s="4">
        <v>584</v>
      </c>
      <c r="L585" s="17">
        <v>-1121.7192441842149</v>
      </c>
    </row>
    <row r="586" spans="11:12" x14ac:dyDescent="0.3">
      <c r="K586" s="4">
        <v>585</v>
      </c>
      <c r="L586" s="17">
        <v>-7753.4608765811954</v>
      </c>
    </row>
    <row r="587" spans="11:12" x14ac:dyDescent="0.3">
      <c r="K587" s="4">
        <v>586</v>
      </c>
      <c r="L587" s="17">
        <v>2116.2514617017523</v>
      </c>
    </row>
    <row r="588" spans="11:12" x14ac:dyDescent="0.3">
      <c r="K588" s="4">
        <v>587</v>
      </c>
      <c r="L588" s="17">
        <v>-4461.0155832227256</v>
      </c>
    </row>
    <row r="589" spans="11:12" x14ac:dyDescent="0.3">
      <c r="K589" s="4">
        <v>588</v>
      </c>
      <c r="L589" s="17">
        <v>-1701.8335548982825</v>
      </c>
    </row>
    <row r="590" spans="11:12" x14ac:dyDescent="0.3">
      <c r="K590" s="4">
        <v>589</v>
      </c>
      <c r="L590" s="17">
        <v>3013.1633159859703</v>
      </c>
    </row>
    <row r="591" spans="11:12" x14ac:dyDescent="0.3">
      <c r="K591" s="4">
        <v>590</v>
      </c>
      <c r="L591" s="17">
        <v>-2718.3664044391485</v>
      </c>
    </row>
    <row r="592" spans="11:12" x14ac:dyDescent="0.3">
      <c r="K592" s="4">
        <v>591</v>
      </c>
      <c r="L592" s="17">
        <v>-4196.7563640278686</v>
      </c>
    </row>
    <row r="593" spans="11:12" x14ac:dyDescent="0.3">
      <c r="K593" s="4">
        <v>592</v>
      </c>
      <c r="L593" s="17">
        <v>-3157.9342074905844</v>
      </c>
    </row>
    <row r="594" spans="11:12" x14ac:dyDescent="0.3">
      <c r="K594" s="4">
        <v>593</v>
      </c>
      <c r="L594" s="17">
        <v>-4077.4470840836148</v>
      </c>
    </row>
    <row r="595" spans="11:12" x14ac:dyDescent="0.3">
      <c r="K595" s="4">
        <v>594</v>
      </c>
      <c r="L595" s="17">
        <v>-1887.8937876994848</v>
      </c>
    </row>
    <row r="596" spans="11:12" x14ac:dyDescent="0.3">
      <c r="K596" s="4">
        <v>595</v>
      </c>
      <c r="L596" s="17">
        <v>-2657.7755961178209</v>
      </c>
    </row>
    <row r="597" spans="11:12" x14ac:dyDescent="0.3">
      <c r="K597" s="4">
        <v>596</v>
      </c>
      <c r="L597" s="17">
        <v>-5289.8393170722593</v>
      </c>
    </row>
    <row r="598" spans="11:12" x14ac:dyDescent="0.3">
      <c r="K598" s="4">
        <v>597</v>
      </c>
      <c r="L598" s="17">
        <v>-317.35875714346867</v>
      </c>
    </row>
    <row r="599" spans="11:12" x14ac:dyDescent="0.3">
      <c r="K599" s="4">
        <v>598</v>
      </c>
      <c r="L599" s="17">
        <v>5149.3135822879931</v>
      </c>
    </row>
    <row r="600" spans="11:12" x14ac:dyDescent="0.3">
      <c r="K600" s="4">
        <v>599</v>
      </c>
      <c r="L600" s="17">
        <v>1332.1094697746087</v>
      </c>
    </row>
    <row r="601" spans="11:12" x14ac:dyDescent="0.3">
      <c r="K601" s="4">
        <v>600</v>
      </c>
      <c r="L601" s="17">
        <v>3444.4815078005809</v>
      </c>
    </row>
    <row r="602" spans="11:12" x14ac:dyDescent="0.3">
      <c r="K602" s="4">
        <v>601</v>
      </c>
      <c r="L602" s="17">
        <v>4818.9851329815083</v>
      </c>
    </row>
    <row r="603" spans="11:12" x14ac:dyDescent="0.3">
      <c r="K603" s="4">
        <v>602</v>
      </c>
      <c r="L603" s="17">
        <v>249.63063756397599</v>
      </c>
    </row>
    <row r="604" spans="11:12" x14ac:dyDescent="0.3">
      <c r="K604" s="4">
        <v>603</v>
      </c>
      <c r="L604" s="17">
        <v>3303.330035820617</v>
      </c>
    </row>
    <row r="605" spans="11:12" x14ac:dyDescent="0.3">
      <c r="K605" s="4">
        <v>604</v>
      </c>
      <c r="L605" s="17">
        <v>-2573.8914997329089</v>
      </c>
    </row>
    <row r="606" spans="11:12" x14ac:dyDescent="0.3">
      <c r="K606" s="4">
        <v>605</v>
      </c>
      <c r="L606" s="17">
        <v>-4487.9013606753078</v>
      </c>
    </row>
    <row r="607" spans="11:12" x14ac:dyDescent="0.3">
      <c r="K607" s="4">
        <v>606</v>
      </c>
      <c r="L607" s="17">
        <v>-320.85425432257176</v>
      </c>
    </row>
    <row r="608" spans="11:12" x14ac:dyDescent="0.3">
      <c r="K608" s="4">
        <v>607</v>
      </c>
      <c r="L608" s="17">
        <v>-629.15582440152502</v>
      </c>
    </row>
    <row r="609" spans="11:12" x14ac:dyDescent="0.3">
      <c r="K609" s="4">
        <v>608</v>
      </c>
      <c r="L609" s="17">
        <v>-1887.0554440432072</v>
      </c>
    </row>
    <row r="610" spans="11:12" x14ac:dyDescent="0.3">
      <c r="K610" s="4">
        <v>609</v>
      </c>
      <c r="L610" s="17">
        <v>-2274.2744929970972</v>
      </c>
    </row>
    <row r="611" spans="11:12" x14ac:dyDescent="0.3">
      <c r="K611" s="4">
        <v>610</v>
      </c>
      <c r="L611" s="17">
        <v>-2993.4347402346521</v>
      </c>
    </row>
    <row r="612" spans="11:12" x14ac:dyDescent="0.3">
      <c r="K612" s="4">
        <v>611</v>
      </c>
      <c r="L612" s="17">
        <v>1948.8112889903382</v>
      </c>
    </row>
    <row r="613" spans="11:12" x14ac:dyDescent="0.3">
      <c r="K613" s="4">
        <v>612</v>
      </c>
      <c r="L613" s="17">
        <v>-1613.6253588020734</v>
      </c>
    </row>
    <row r="614" spans="11:12" x14ac:dyDescent="0.3">
      <c r="K614" s="4">
        <v>613</v>
      </c>
      <c r="L614" s="17">
        <v>4302.6086264581481</v>
      </c>
    </row>
    <row r="615" spans="11:12" x14ac:dyDescent="0.3">
      <c r="K615" s="4">
        <v>614</v>
      </c>
      <c r="L615" s="17">
        <v>2332.1959897641668</v>
      </c>
    </row>
    <row r="616" spans="11:12" x14ac:dyDescent="0.3">
      <c r="K616" s="4">
        <v>615</v>
      </c>
      <c r="L616" s="17">
        <v>7534.370807671763</v>
      </c>
    </row>
    <row r="617" spans="11:12" x14ac:dyDescent="0.3">
      <c r="K617" s="4">
        <v>616</v>
      </c>
      <c r="L617" s="17">
        <v>-2737.2779462955764</v>
      </c>
    </row>
    <row r="618" spans="11:12" x14ac:dyDescent="0.3">
      <c r="K618" s="4">
        <v>617</v>
      </c>
      <c r="L618" s="17">
        <v>-3818.7491140486004</v>
      </c>
    </row>
    <row r="619" spans="11:12" x14ac:dyDescent="0.3">
      <c r="K619" s="4">
        <v>618</v>
      </c>
      <c r="L619" s="17">
        <v>2685.9607000307865</v>
      </c>
    </row>
    <row r="620" spans="11:12" x14ac:dyDescent="0.3">
      <c r="K620" s="4">
        <v>619</v>
      </c>
      <c r="L620" s="17">
        <v>-3233.540949011724</v>
      </c>
    </row>
    <row r="621" spans="11:12" x14ac:dyDescent="0.3">
      <c r="K621" s="4">
        <v>620</v>
      </c>
      <c r="L621" s="17">
        <v>-877.09140856360159</v>
      </c>
    </row>
    <row r="622" spans="11:12" x14ac:dyDescent="0.3">
      <c r="K622" s="4">
        <v>621</v>
      </c>
      <c r="L622" s="17">
        <v>-3442.4077169277884</v>
      </c>
    </row>
    <row r="623" spans="11:12" x14ac:dyDescent="0.3">
      <c r="K623" s="4">
        <v>622</v>
      </c>
      <c r="L623" s="17">
        <v>8526.1982767369354</v>
      </c>
    </row>
    <row r="624" spans="11:12" x14ac:dyDescent="0.3">
      <c r="K624" s="4">
        <v>623</v>
      </c>
      <c r="L624" s="17">
        <v>-11673.255468050836</v>
      </c>
    </row>
    <row r="625" spans="11:12" x14ac:dyDescent="0.3">
      <c r="K625" s="4">
        <v>624</v>
      </c>
      <c r="L625" s="17">
        <v>1450.0537343038457</v>
      </c>
    </row>
    <row r="626" spans="11:12" x14ac:dyDescent="0.3">
      <c r="K626" s="4">
        <v>625</v>
      </c>
      <c r="L626" s="17">
        <v>-2724.8232943644593</v>
      </c>
    </row>
    <row r="627" spans="11:12" x14ac:dyDescent="0.3">
      <c r="K627" s="4">
        <v>626</v>
      </c>
      <c r="L627" s="17">
        <v>-3358.2857193189052</v>
      </c>
    </row>
    <row r="628" spans="11:12" x14ac:dyDescent="0.3">
      <c r="K628" s="4">
        <v>627</v>
      </c>
      <c r="L628" s="17">
        <v>5806.2131816906449</v>
      </c>
    </row>
    <row r="629" spans="11:12" x14ac:dyDescent="0.3">
      <c r="K629" s="4">
        <v>628</v>
      </c>
      <c r="L629" s="17">
        <v>-4192.4840045113015</v>
      </c>
    </row>
    <row r="630" spans="11:12" x14ac:dyDescent="0.3">
      <c r="K630" s="4">
        <v>629</v>
      </c>
      <c r="L630" s="17">
        <v>643.93942292819634</v>
      </c>
    </row>
    <row r="631" spans="11:12" x14ac:dyDescent="0.3">
      <c r="K631" s="4">
        <v>630</v>
      </c>
      <c r="L631" s="17">
        <v>-4719.8742789675662</v>
      </c>
    </row>
    <row r="632" spans="11:12" x14ac:dyDescent="0.3">
      <c r="K632" s="4">
        <v>631</v>
      </c>
      <c r="L632" s="17">
        <v>-5741.7130465137188</v>
      </c>
    </row>
    <row r="633" spans="11:12" x14ac:dyDescent="0.3">
      <c r="K633" s="4">
        <v>632</v>
      </c>
      <c r="L633" s="17">
        <v>-2497.0219426657245</v>
      </c>
    </row>
    <row r="634" spans="11:12" x14ac:dyDescent="0.3">
      <c r="K634" s="4">
        <v>633</v>
      </c>
      <c r="L634" s="17">
        <v>-4205.9152829620807</v>
      </c>
    </row>
    <row r="635" spans="11:12" x14ac:dyDescent="0.3">
      <c r="K635" s="4">
        <v>634</v>
      </c>
      <c r="L635" s="17">
        <v>798.9141641128906</v>
      </c>
    </row>
    <row r="636" spans="11:12" x14ac:dyDescent="0.3">
      <c r="K636" s="4">
        <v>635</v>
      </c>
      <c r="L636" s="17">
        <v>-6904.7151719121575</v>
      </c>
    </row>
    <row r="637" spans="11:12" x14ac:dyDescent="0.3">
      <c r="K637" s="4">
        <v>636</v>
      </c>
      <c r="L637" s="17">
        <v>-1006.285701287145</v>
      </c>
    </row>
    <row r="638" spans="11:12" x14ac:dyDescent="0.3">
      <c r="K638" s="4">
        <v>637</v>
      </c>
      <c r="L638" s="17">
        <v>-1581.5060029458812</v>
      </c>
    </row>
    <row r="639" spans="11:12" x14ac:dyDescent="0.3">
      <c r="K639" s="4">
        <v>638</v>
      </c>
      <c r="L639" s="17">
        <v>-5899.0210845566271</v>
      </c>
    </row>
    <row r="640" spans="11:12" x14ac:dyDescent="0.3">
      <c r="K640" s="4">
        <v>639</v>
      </c>
      <c r="L640" s="17">
        <v>-1343.6415852311984</v>
      </c>
    </row>
    <row r="641" spans="11:12" x14ac:dyDescent="0.3">
      <c r="K641" s="4">
        <v>640</v>
      </c>
      <c r="L641" s="17">
        <v>-2830.0560810479456</v>
      </c>
    </row>
    <row r="642" spans="11:12" x14ac:dyDescent="0.3">
      <c r="K642" s="4">
        <v>641</v>
      </c>
      <c r="L642" s="17">
        <v>862.81253725905549</v>
      </c>
    </row>
    <row r="643" spans="11:12" x14ac:dyDescent="0.3">
      <c r="K643" s="4">
        <v>642</v>
      </c>
      <c r="L643" s="17">
        <v>4865.1773988964487</v>
      </c>
    </row>
    <row r="644" spans="11:12" x14ac:dyDescent="0.3">
      <c r="K644" s="4">
        <v>643</v>
      </c>
      <c r="L644" s="17">
        <v>-741.36399601103244</v>
      </c>
    </row>
    <row r="645" spans="11:12" x14ac:dyDescent="0.3">
      <c r="K645" s="4">
        <v>644</v>
      </c>
      <c r="L645" s="17">
        <v>258.9619996149018</v>
      </c>
    </row>
    <row r="646" spans="11:12" x14ac:dyDescent="0.3">
      <c r="K646" s="4">
        <v>645</v>
      </c>
      <c r="L646" s="17">
        <v>3222.9104798755429</v>
      </c>
    </row>
    <row r="647" spans="11:12" x14ac:dyDescent="0.3">
      <c r="K647" s="4">
        <v>646</v>
      </c>
      <c r="L647" s="17">
        <v>2051.0742049336136</v>
      </c>
    </row>
    <row r="648" spans="11:12" x14ac:dyDescent="0.3">
      <c r="K648" s="4">
        <v>647</v>
      </c>
      <c r="L648" s="17">
        <v>-4975.699557893151</v>
      </c>
    </row>
    <row r="649" spans="11:12" x14ac:dyDescent="0.3">
      <c r="K649" s="4">
        <v>648</v>
      </c>
      <c r="L649" s="17">
        <v>-1455.4276623669518</v>
      </c>
    </row>
    <row r="650" spans="11:12" x14ac:dyDescent="0.3">
      <c r="K650" s="4">
        <v>649</v>
      </c>
      <c r="L650" s="17">
        <v>4124.6651738849378</v>
      </c>
    </row>
    <row r="651" spans="11:12" x14ac:dyDescent="0.3">
      <c r="K651" s="4">
        <v>650</v>
      </c>
      <c r="L651" s="17">
        <v>1402.3581348415657</v>
      </c>
    </row>
    <row r="652" spans="11:12" x14ac:dyDescent="0.3">
      <c r="K652" s="4">
        <v>651</v>
      </c>
      <c r="L652" s="17">
        <v>-3477.2419810792012</v>
      </c>
    </row>
    <row r="653" spans="11:12" x14ac:dyDescent="0.3">
      <c r="K653" s="4">
        <v>652</v>
      </c>
      <c r="L653" s="17">
        <v>-1675.5652056600647</v>
      </c>
    </row>
    <row r="654" spans="11:12" x14ac:dyDescent="0.3">
      <c r="K654" s="4">
        <v>653</v>
      </c>
      <c r="L654" s="17">
        <v>1151.9750326476164</v>
      </c>
    </row>
    <row r="655" spans="11:12" x14ac:dyDescent="0.3">
      <c r="K655" s="4">
        <v>654</v>
      </c>
      <c r="L655" s="17">
        <v>-5804.228315122592</v>
      </c>
    </row>
    <row r="656" spans="11:12" x14ac:dyDescent="0.3">
      <c r="K656" s="4">
        <v>655</v>
      </c>
      <c r="L656" s="17">
        <v>-2188.1200198639303</v>
      </c>
    </row>
    <row r="657" spans="11:12" x14ac:dyDescent="0.3">
      <c r="K657" s="4">
        <v>656</v>
      </c>
      <c r="L657" s="17">
        <v>1401.3773358646088</v>
      </c>
    </row>
    <row r="658" spans="11:12" x14ac:dyDescent="0.3">
      <c r="K658" s="4">
        <v>657</v>
      </c>
      <c r="L658" s="17">
        <v>-8926.0773946764202</v>
      </c>
    </row>
    <row r="659" spans="11:12" x14ac:dyDescent="0.3">
      <c r="K659" s="4">
        <v>658</v>
      </c>
      <c r="L659" s="17">
        <v>1120.4518844251868</v>
      </c>
    </row>
    <row r="660" spans="11:12" x14ac:dyDescent="0.3">
      <c r="K660" s="4">
        <v>659</v>
      </c>
      <c r="L660" s="17">
        <v>2864.4504080565198</v>
      </c>
    </row>
    <row r="661" spans="11:12" x14ac:dyDescent="0.3">
      <c r="K661" s="4">
        <v>660</v>
      </c>
      <c r="L661" s="17">
        <v>-421.67477960930273</v>
      </c>
    </row>
    <row r="662" spans="11:12" x14ac:dyDescent="0.3">
      <c r="K662" s="4">
        <v>661</v>
      </c>
      <c r="L662" s="17">
        <v>-3293.3451068229606</v>
      </c>
    </row>
    <row r="663" spans="11:12" x14ac:dyDescent="0.3">
      <c r="K663" s="4">
        <v>662</v>
      </c>
      <c r="L663" s="17">
        <v>6301.7865495686256</v>
      </c>
    </row>
    <row r="664" spans="11:12" x14ac:dyDescent="0.3">
      <c r="K664" s="4">
        <v>663</v>
      </c>
      <c r="L664" s="17">
        <v>3688.0530164952474</v>
      </c>
    </row>
    <row r="665" spans="11:12" x14ac:dyDescent="0.3">
      <c r="K665" s="4">
        <v>664</v>
      </c>
      <c r="L665" s="17">
        <v>947.14353603012978</v>
      </c>
    </row>
    <row r="666" spans="11:12" x14ac:dyDescent="0.3">
      <c r="K666" s="4">
        <v>665</v>
      </c>
      <c r="L666" s="17">
        <v>-92.888235372083443</v>
      </c>
    </row>
    <row r="667" spans="11:12" x14ac:dyDescent="0.3">
      <c r="K667" s="4">
        <v>666</v>
      </c>
      <c r="L667" s="17">
        <v>-6389.0964614524173</v>
      </c>
    </row>
    <row r="668" spans="11:12" x14ac:dyDescent="0.3">
      <c r="K668" s="4">
        <v>667</v>
      </c>
      <c r="L668" s="17">
        <v>-2719.7343602265978</v>
      </c>
    </row>
    <row r="669" spans="11:12" x14ac:dyDescent="0.3">
      <c r="K669" s="4">
        <v>668</v>
      </c>
      <c r="L669" s="17">
        <v>-2234.3815960732727</v>
      </c>
    </row>
    <row r="670" spans="11:12" x14ac:dyDescent="0.3">
      <c r="K670" s="4">
        <v>669</v>
      </c>
      <c r="L670" s="17">
        <v>-1090.1271030832991</v>
      </c>
    </row>
    <row r="671" spans="11:12" x14ac:dyDescent="0.3">
      <c r="K671" s="4">
        <v>670</v>
      </c>
      <c r="L671" s="17">
        <v>-9094.068279206942</v>
      </c>
    </row>
    <row r="672" spans="11:12" x14ac:dyDescent="0.3">
      <c r="K672" s="4">
        <v>671</v>
      </c>
      <c r="L672" s="17">
        <v>-1528.7066685356695</v>
      </c>
    </row>
    <row r="673" spans="11:12" x14ac:dyDescent="0.3">
      <c r="K673" s="4">
        <v>672</v>
      </c>
      <c r="L673" s="17">
        <v>2298.2962103058021</v>
      </c>
    </row>
    <row r="674" spans="11:12" x14ac:dyDescent="0.3">
      <c r="K674" s="4">
        <v>673</v>
      </c>
      <c r="L674" s="17">
        <v>-5076.9538240258835</v>
      </c>
    </row>
    <row r="675" spans="11:12" x14ac:dyDescent="0.3">
      <c r="K675" s="4">
        <v>674</v>
      </c>
      <c r="L675" s="17">
        <v>-829.88391919499509</v>
      </c>
    </row>
    <row r="676" spans="11:12" x14ac:dyDescent="0.3">
      <c r="K676" s="4">
        <v>675</v>
      </c>
      <c r="L676" s="17">
        <v>342.47445625455981</v>
      </c>
    </row>
    <row r="677" spans="11:12" x14ac:dyDescent="0.3">
      <c r="K677" s="4">
        <v>676</v>
      </c>
      <c r="L677" s="17">
        <v>-1247.7227942294644</v>
      </c>
    </row>
    <row r="678" spans="11:12" x14ac:dyDescent="0.3">
      <c r="K678" s="4">
        <v>677</v>
      </c>
      <c r="L678" s="17">
        <v>-8426.9283097261159</v>
      </c>
    </row>
    <row r="679" spans="11:12" x14ac:dyDescent="0.3">
      <c r="K679" s="4">
        <v>678</v>
      </c>
      <c r="L679" s="17">
        <v>-912.37668845374537</v>
      </c>
    </row>
    <row r="680" spans="11:12" x14ac:dyDescent="0.3">
      <c r="K680" s="4">
        <v>679</v>
      </c>
      <c r="L680" s="17">
        <v>2449.6447842790558</v>
      </c>
    </row>
    <row r="681" spans="11:12" x14ac:dyDescent="0.3">
      <c r="K681" s="4">
        <v>680</v>
      </c>
      <c r="L681" s="17">
        <v>-2386.7058649823598</v>
      </c>
    </row>
    <row r="682" spans="11:12" x14ac:dyDescent="0.3">
      <c r="K682" s="4">
        <v>681</v>
      </c>
      <c r="L682" s="17">
        <v>-2239.8731845429825</v>
      </c>
    </row>
    <row r="683" spans="11:12" x14ac:dyDescent="0.3">
      <c r="K683" s="4">
        <v>682</v>
      </c>
      <c r="L683" s="17">
        <v>3487.3926738649293</v>
      </c>
    </row>
    <row r="684" spans="11:12" x14ac:dyDescent="0.3">
      <c r="K684" s="4">
        <v>683</v>
      </c>
      <c r="L684" s="17">
        <v>-178.45399091151779</v>
      </c>
    </row>
    <row r="685" spans="11:12" x14ac:dyDescent="0.3">
      <c r="K685" s="4">
        <v>684</v>
      </c>
      <c r="L685" s="17">
        <v>-632.27620197459146</v>
      </c>
    </row>
    <row r="686" spans="11:12" x14ac:dyDescent="0.3">
      <c r="K686" s="4">
        <v>685</v>
      </c>
      <c r="L686" s="17">
        <v>143.38335178638096</v>
      </c>
    </row>
    <row r="687" spans="11:12" x14ac:dyDescent="0.3">
      <c r="K687" s="4">
        <v>686</v>
      </c>
      <c r="L687" s="17">
        <v>664.75394026214053</v>
      </c>
    </row>
    <row r="688" spans="11:12" x14ac:dyDescent="0.3">
      <c r="K688" s="4">
        <v>687</v>
      </c>
      <c r="L688" s="17">
        <v>-3398.621534116131</v>
      </c>
    </row>
    <row r="689" spans="11:12" x14ac:dyDescent="0.3">
      <c r="K689" s="4">
        <v>688</v>
      </c>
      <c r="L689" s="17">
        <v>738.81878372769074</v>
      </c>
    </row>
    <row r="690" spans="11:12" x14ac:dyDescent="0.3">
      <c r="K690" s="4">
        <v>689</v>
      </c>
      <c r="L690" s="17">
        <v>-1661.4057190469523</v>
      </c>
    </row>
    <row r="691" spans="11:12" x14ac:dyDescent="0.3">
      <c r="K691" s="4">
        <v>690</v>
      </c>
      <c r="L691" s="17">
        <v>5106.326433620533</v>
      </c>
    </row>
    <row r="692" spans="11:12" x14ac:dyDescent="0.3">
      <c r="K692" s="4">
        <v>691</v>
      </c>
      <c r="L692" s="17">
        <v>-1374.3027423804153</v>
      </c>
    </row>
    <row r="693" spans="11:12" x14ac:dyDescent="0.3">
      <c r="K693" s="4">
        <v>692</v>
      </c>
      <c r="L693" s="17">
        <v>-4324.9335787147475</v>
      </c>
    </row>
    <row r="694" spans="11:12" x14ac:dyDescent="0.3">
      <c r="K694" s="4">
        <v>693</v>
      </c>
      <c r="L694" s="17">
        <v>410.03793032663174</v>
      </c>
    </row>
    <row r="695" spans="11:12" x14ac:dyDescent="0.3">
      <c r="K695" s="4">
        <v>694</v>
      </c>
      <c r="L695" s="17">
        <v>3929.435250680865</v>
      </c>
    </row>
    <row r="696" spans="11:12" x14ac:dyDescent="0.3">
      <c r="K696" s="4">
        <v>695</v>
      </c>
      <c r="L696" s="17">
        <v>-3314.8409312670651</v>
      </c>
    </row>
    <row r="697" spans="11:12" x14ac:dyDescent="0.3">
      <c r="K697" s="4">
        <v>696</v>
      </c>
      <c r="L697" s="17">
        <v>-3976.2117422738693</v>
      </c>
    </row>
    <row r="698" spans="11:12" x14ac:dyDescent="0.3">
      <c r="K698" s="4">
        <v>697</v>
      </c>
      <c r="L698" s="17">
        <v>-1084.0657187587958</v>
      </c>
    </row>
    <row r="699" spans="11:12" x14ac:dyDescent="0.3">
      <c r="K699" s="4">
        <v>698</v>
      </c>
      <c r="L699" s="17">
        <v>-1128.2569224380084</v>
      </c>
    </row>
    <row r="700" spans="11:12" x14ac:dyDescent="0.3">
      <c r="K700" s="4">
        <v>699</v>
      </c>
      <c r="L700" s="17">
        <v>-6947.1051965750512</v>
      </c>
    </row>
    <row r="701" spans="11:12" x14ac:dyDescent="0.3">
      <c r="K701" s="4">
        <v>700</v>
      </c>
      <c r="L701" s="17">
        <v>-2135.7558221960753</v>
      </c>
    </row>
    <row r="702" spans="11:12" x14ac:dyDescent="0.3">
      <c r="K702" s="4">
        <v>701</v>
      </c>
      <c r="L702" s="17">
        <v>-801.95948365495065</v>
      </c>
    </row>
    <row r="703" spans="11:12" x14ac:dyDescent="0.3">
      <c r="K703" s="4">
        <v>702</v>
      </c>
      <c r="L703" s="17">
        <v>-3649.4189217808853</v>
      </c>
    </row>
    <row r="704" spans="11:12" x14ac:dyDescent="0.3">
      <c r="K704" s="4">
        <v>703</v>
      </c>
      <c r="L704" s="17">
        <v>-908.21876758537371</v>
      </c>
    </row>
    <row r="705" spans="11:12" x14ac:dyDescent="0.3">
      <c r="K705" s="4">
        <v>704</v>
      </c>
      <c r="L705" s="17">
        <v>-6606.5136728066173</v>
      </c>
    </row>
    <row r="706" spans="11:12" x14ac:dyDescent="0.3">
      <c r="K706" s="4">
        <v>705</v>
      </c>
      <c r="L706" s="17">
        <v>179.31122687877365</v>
      </c>
    </row>
    <row r="707" spans="11:12" x14ac:dyDescent="0.3">
      <c r="K707" s="4">
        <v>706</v>
      </c>
      <c r="L707" s="17">
        <v>1602.1542277294234</v>
      </c>
    </row>
    <row r="708" spans="11:12" x14ac:dyDescent="0.3">
      <c r="K708" s="4">
        <v>707</v>
      </c>
      <c r="L708" s="17">
        <v>-4224.2120126854788</v>
      </c>
    </row>
    <row r="709" spans="11:12" x14ac:dyDescent="0.3">
      <c r="K709" s="4">
        <v>708</v>
      </c>
      <c r="L709" s="17">
        <v>928.25652692290396</v>
      </c>
    </row>
    <row r="710" spans="11:12" x14ac:dyDescent="0.3">
      <c r="K710" s="4">
        <v>709</v>
      </c>
      <c r="L710" s="17">
        <v>2051.6706668166353</v>
      </c>
    </row>
    <row r="711" spans="11:12" x14ac:dyDescent="0.3">
      <c r="K711" s="4">
        <v>710</v>
      </c>
      <c r="L711" s="17">
        <v>-2511.8666050496331</v>
      </c>
    </row>
    <row r="712" spans="11:12" x14ac:dyDescent="0.3">
      <c r="K712" s="4">
        <v>711</v>
      </c>
      <c r="L712" s="17">
        <v>922.40070212864339</v>
      </c>
    </row>
    <row r="713" spans="11:12" x14ac:dyDescent="0.3">
      <c r="K713" s="4">
        <v>712</v>
      </c>
      <c r="L713" s="17">
        <v>-4378.7999632123692</v>
      </c>
    </row>
    <row r="714" spans="11:12" x14ac:dyDescent="0.3">
      <c r="K714" s="4">
        <v>713</v>
      </c>
      <c r="L714" s="17">
        <v>483.77806673184745</v>
      </c>
    </row>
    <row r="715" spans="11:12" x14ac:dyDescent="0.3">
      <c r="K715" s="4">
        <v>714</v>
      </c>
      <c r="L715" s="17">
        <v>8105.8644896197484</v>
      </c>
    </row>
    <row r="716" spans="11:12" x14ac:dyDescent="0.3">
      <c r="K716" s="4">
        <v>715</v>
      </c>
      <c r="L716" s="17">
        <v>49.157839694480231</v>
      </c>
    </row>
    <row r="717" spans="11:12" x14ac:dyDescent="0.3">
      <c r="K717" s="4">
        <v>716</v>
      </c>
      <c r="L717" s="17">
        <v>-678.96477841868352</v>
      </c>
    </row>
    <row r="718" spans="11:12" x14ac:dyDescent="0.3">
      <c r="K718" s="4">
        <v>717</v>
      </c>
      <c r="L718" s="17">
        <v>948.3025143935397</v>
      </c>
    </row>
    <row r="719" spans="11:12" x14ac:dyDescent="0.3">
      <c r="K719" s="4">
        <v>718</v>
      </c>
      <c r="L719" s="17">
        <v>-438.5797093748958</v>
      </c>
    </row>
    <row r="720" spans="11:12" x14ac:dyDescent="0.3">
      <c r="K720" s="4">
        <v>719</v>
      </c>
      <c r="L720" s="17">
        <v>3676.8952204220545</v>
      </c>
    </row>
    <row r="721" spans="11:12" x14ac:dyDescent="0.3">
      <c r="K721" s="4">
        <v>720</v>
      </c>
      <c r="L721" s="17">
        <v>-3042.9822100596489</v>
      </c>
    </row>
    <row r="722" spans="11:12" x14ac:dyDescent="0.3">
      <c r="K722" s="4">
        <v>721</v>
      </c>
      <c r="L722" s="17">
        <v>3043.2993345501795</v>
      </c>
    </row>
    <row r="723" spans="11:12" x14ac:dyDescent="0.3">
      <c r="K723" s="4">
        <v>722</v>
      </c>
      <c r="L723" s="17">
        <v>816.05760633947784</v>
      </c>
    </row>
    <row r="724" spans="11:12" x14ac:dyDescent="0.3">
      <c r="K724" s="4">
        <v>723</v>
      </c>
      <c r="L724" s="17">
        <v>2398.3302251493183</v>
      </c>
    </row>
    <row r="725" spans="11:12" x14ac:dyDescent="0.3">
      <c r="K725" s="4">
        <v>724</v>
      </c>
      <c r="L725" s="17">
        <v>-2383.4663520709696</v>
      </c>
    </row>
    <row r="726" spans="11:12" x14ac:dyDescent="0.3">
      <c r="K726" s="4">
        <v>725</v>
      </c>
      <c r="L726" s="17">
        <v>-832.51875330265625</v>
      </c>
    </row>
    <row r="727" spans="11:12" x14ac:dyDescent="0.3">
      <c r="K727" s="4">
        <v>726</v>
      </c>
      <c r="L727" s="17">
        <v>1762.8245904911864</v>
      </c>
    </row>
    <row r="728" spans="11:12" x14ac:dyDescent="0.3">
      <c r="K728" s="4">
        <v>727</v>
      </c>
      <c r="L728" s="17">
        <v>2505.2951215683088</v>
      </c>
    </row>
    <row r="729" spans="11:12" x14ac:dyDescent="0.3">
      <c r="K729" s="4">
        <v>728</v>
      </c>
      <c r="L729" s="17">
        <v>-1819.5694008437033</v>
      </c>
    </row>
    <row r="730" spans="11:12" x14ac:dyDescent="0.3">
      <c r="K730" s="4">
        <v>729</v>
      </c>
      <c r="L730" s="17">
        <v>-219.05746318744127</v>
      </c>
    </row>
    <row r="731" spans="11:12" x14ac:dyDescent="0.3">
      <c r="K731" s="4">
        <v>730</v>
      </c>
      <c r="L731" s="17">
        <v>-4493.7832141665249</v>
      </c>
    </row>
    <row r="732" spans="11:12" x14ac:dyDescent="0.3">
      <c r="K732" s="4">
        <v>731</v>
      </c>
      <c r="L732" s="17">
        <v>4259.4175861472058</v>
      </c>
    </row>
    <row r="733" spans="11:12" x14ac:dyDescent="0.3">
      <c r="K733" s="4">
        <v>732</v>
      </c>
      <c r="L733" s="17">
        <v>-792.83279685077741</v>
      </c>
    </row>
    <row r="734" spans="11:12" x14ac:dyDescent="0.3">
      <c r="K734" s="4">
        <v>733</v>
      </c>
      <c r="L734" s="17">
        <v>3385.1957278001291</v>
      </c>
    </row>
    <row r="735" spans="11:12" x14ac:dyDescent="0.3">
      <c r="K735" s="4">
        <v>734</v>
      </c>
      <c r="L735" s="17">
        <v>66.957211613026288</v>
      </c>
    </row>
    <row r="736" spans="11:12" x14ac:dyDescent="0.3">
      <c r="K736" s="4">
        <v>735</v>
      </c>
      <c r="L736" s="17">
        <v>4447.8996075798568</v>
      </c>
    </row>
    <row r="737" spans="11:12" x14ac:dyDescent="0.3">
      <c r="K737" s="4">
        <v>736</v>
      </c>
      <c r="L737" s="17">
        <v>6852.0453361136288</v>
      </c>
    </row>
    <row r="738" spans="11:12" x14ac:dyDescent="0.3">
      <c r="K738" s="4">
        <v>737</v>
      </c>
      <c r="L738" s="17">
        <v>-2719.0784080242979</v>
      </c>
    </row>
    <row r="739" spans="11:12" x14ac:dyDescent="0.3">
      <c r="K739" s="4">
        <v>738</v>
      </c>
      <c r="L739" s="17">
        <v>1334.6136017964131</v>
      </c>
    </row>
    <row r="740" spans="11:12" x14ac:dyDescent="0.3">
      <c r="K740" s="4">
        <v>739</v>
      </c>
      <c r="L740" s="17">
        <v>-1332.6892992751937</v>
      </c>
    </row>
    <row r="741" spans="11:12" x14ac:dyDescent="0.3">
      <c r="K741" s="4">
        <v>740</v>
      </c>
      <c r="L741" s="17">
        <v>7465.7905441172907</v>
      </c>
    </row>
    <row r="742" spans="11:12" x14ac:dyDescent="0.3">
      <c r="K742" s="4">
        <v>741</v>
      </c>
      <c r="L742" s="17">
        <v>-7696.5846911896551</v>
      </c>
    </row>
    <row r="743" spans="11:12" x14ac:dyDescent="0.3">
      <c r="K743" s="4">
        <v>742</v>
      </c>
      <c r="L743" s="17">
        <v>-1139.2971070694159</v>
      </c>
    </row>
    <row r="744" spans="11:12" x14ac:dyDescent="0.3">
      <c r="K744" s="4">
        <v>743</v>
      </c>
      <c r="L744" s="17">
        <v>-11887.748839016882</v>
      </c>
    </row>
    <row r="745" spans="11:12" x14ac:dyDescent="0.3">
      <c r="K745" s="4">
        <v>744</v>
      </c>
      <c r="L745" s="17">
        <v>-3143.7560174946311</v>
      </c>
    </row>
    <row r="746" spans="11:12" x14ac:dyDescent="0.3">
      <c r="K746" s="4">
        <v>745</v>
      </c>
      <c r="L746" s="17">
        <v>-4585.0983329516021</v>
      </c>
    </row>
    <row r="747" spans="11:12" x14ac:dyDescent="0.3">
      <c r="K747" s="4">
        <v>746</v>
      </c>
      <c r="L747" s="17">
        <v>3458.2552317167829</v>
      </c>
    </row>
    <row r="748" spans="11:12" x14ac:dyDescent="0.3">
      <c r="K748" s="4">
        <v>747</v>
      </c>
      <c r="L748" s="17">
        <v>-1599.2492870300098</v>
      </c>
    </row>
    <row r="749" spans="11:12" x14ac:dyDescent="0.3">
      <c r="K749" s="4">
        <v>748</v>
      </c>
      <c r="L749" s="17">
        <v>-1074.8542995369203</v>
      </c>
    </row>
    <row r="750" spans="11:12" x14ac:dyDescent="0.3">
      <c r="K750" s="4">
        <v>749</v>
      </c>
      <c r="L750" s="17">
        <v>-2939.5669665471955</v>
      </c>
    </row>
    <row r="751" spans="11:12" x14ac:dyDescent="0.3">
      <c r="K751" s="4">
        <v>750</v>
      </c>
      <c r="L751" s="17">
        <v>-3702.1694174522459</v>
      </c>
    </row>
    <row r="752" spans="11:12" x14ac:dyDescent="0.3">
      <c r="K752" s="4">
        <v>751</v>
      </c>
      <c r="L752" s="17">
        <v>1843.8508042876265</v>
      </c>
    </row>
    <row r="753" spans="11:12" x14ac:dyDescent="0.3">
      <c r="K753" s="4">
        <v>752</v>
      </c>
      <c r="L753" s="17">
        <v>119.43207446881041</v>
      </c>
    </row>
    <row r="754" spans="11:12" x14ac:dyDescent="0.3">
      <c r="K754" s="4">
        <v>753</v>
      </c>
      <c r="L754" s="17">
        <v>-4132.6267784461543</v>
      </c>
    </row>
    <row r="755" spans="11:12" x14ac:dyDescent="0.3">
      <c r="K755" s="4">
        <v>754</v>
      </c>
      <c r="L755" s="17">
        <v>-3646.1118008709736</v>
      </c>
    </row>
    <row r="756" spans="11:12" x14ac:dyDescent="0.3">
      <c r="K756" s="4">
        <v>755</v>
      </c>
      <c r="L756" s="17">
        <v>-3687.8770792182822</v>
      </c>
    </row>
    <row r="757" spans="11:12" x14ac:dyDescent="0.3">
      <c r="K757" s="4">
        <v>756</v>
      </c>
      <c r="L757" s="17">
        <v>-6426.072797505336</v>
      </c>
    </row>
    <row r="758" spans="11:12" x14ac:dyDescent="0.3">
      <c r="K758" s="4">
        <v>757</v>
      </c>
      <c r="L758" s="17">
        <v>2151.8468372371053</v>
      </c>
    </row>
    <row r="759" spans="11:12" x14ac:dyDescent="0.3">
      <c r="K759" s="4">
        <v>758</v>
      </c>
      <c r="L759" s="17">
        <v>3929.4047058666579</v>
      </c>
    </row>
    <row r="760" spans="11:12" x14ac:dyDescent="0.3">
      <c r="K760" s="4">
        <v>759</v>
      </c>
      <c r="L760" s="17">
        <v>347.9463202663307</v>
      </c>
    </row>
    <row r="761" spans="11:12" x14ac:dyDescent="0.3">
      <c r="K761" s="4">
        <v>760</v>
      </c>
      <c r="L761" s="17">
        <v>-1945.9861048574942</v>
      </c>
    </row>
    <row r="762" spans="11:12" x14ac:dyDescent="0.3">
      <c r="K762" s="4">
        <v>761</v>
      </c>
      <c r="L762" s="17">
        <v>-640.91136543328309</v>
      </c>
    </row>
    <row r="763" spans="11:12" x14ac:dyDescent="0.3">
      <c r="K763" s="4">
        <v>762</v>
      </c>
      <c r="L763" s="17">
        <v>-5456.919933399301</v>
      </c>
    </row>
    <row r="764" spans="11:12" x14ac:dyDescent="0.3">
      <c r="K764" s="4">
        <v>763</v>
      </c>
      <c r="L764" s="17">
        <v>-5261.2037952802875</v>
      </c>
    </row>
    <row r="765" spans="11:12" x14ac:dyDescent="0.3">
      <c r="K765" s="4">
        <v>764</v>
      </c>
      <c r="L765" s="17">
        <v>-2100.3132585364365</v>
      </c>
    </row>
    <row r="766" spans="11:12" x14ac:dyDescent="0.3">
      <c r="K766" s="4">
        <v>765</v>
      </c>
      <c r="L766" s="17">
        <v>-2431.2988723333915</v>
      </c>
    </row>
    <row r="767" spans="11:12" x14ac:dyDescent="0.3">
      <c r="K767" s="4">
        <v>766</v>
      </c>
      <c r="L767" s="17">
        <v>-5257.082492745124</v>
      </c>
    </row>
    <row r="768" spans="11:12" x14ac:dyDescent="0.3">
      <c r="K768" s="4">
        <v>767</v>
      </c>
      <c r="L768" s="17">
        <v>5459.6355756561534</v>
      </c>
    </row>
    <row r="769" spans="11:12" x14ac:dyDescent="0.3">
      <c r="K769" s="4">
        <v>768</v>
      </c>
      <c r="L769" s="17">
        <v>-1421.0656189913129</v>
      </c>
    </row>
    <row r="770" spans="11:12" x14ac:dyDescent="0.3">
      <c r="K770" s="4">
        <v>769</v>
      </c>
      <c r="L770" s="17">
        <v>2486.5680381808984</v>
      </c>
    </row>
    <row r="771" spans="11:12" x14ac:dyDescent="0.3">
      <c r="K771" s="4">
        <v>770</v>
      </c>
      <c r="L771" s="17">
        <v>-3083.7474069825303</v>
      </c>
    </row>
    <row r="772" spans="11:12" x14ac:dyDescent="0.3">
      <c r="K772" s="4">
        <v>771</v>
      </c>
      <c r="L772" s="17">
        <v>2305.2583681320048</v>
      </c>
    </row>
    <row r="773" spans="11:12" x14ac:dyDescent="0.3">
      <c r="K773" s="4">
        <v>772</v>
      </c>
      <c r="L773" s="17">
        <v>4083.3486118552269</v>
      </c>
    </row>
    <row r="774" spans="11:12" x14ac:dyDescent="0.3">
      <c r="K774" s="4">
        <v>773</v>
      </c>
      <c r="L774" s="17">
        <v>3021.9267351733183</v>
      </c>
    </row>
    <row r="775" spans="11:12" x14ac:dyDescent="0.3">
      <c r="K775" s="4">
        <v>774</v>
      </c>
      <c r="L775" s="17">
        <v>1614.9489813691437</v>
      </c>
    </row>
    <row r="776" spans="11:12" x14ac:dyDescent="0.3">
      <c r="K776" s="4">
        <v>775</v>
      </c>
      <c r="L776" s="17">
        <v>-1764.3465148830094</v>
      </c>
    </row>
    <row r="777" spans="11:12" x14ac:dyDescent="0.3">
      <c r="K777" s="4">
        <v>776</v>
      </c>
      <c r="L777" s="17">
        <v>1014.312323036622</v>
      </c>
    </row>
    <row r="778" spans="11:12" x14ac:dyDescent="0.3">
      <c r="K778" s="4">
        <v>777</v>
      </c>
      <c r="L778" s="17">
        <v>-5476.2534328956026</v>
      </c>
    </row>
    <row r="779" spans="11:12" x14ac:dyDescent="0.3">
      <c r="K779" s="4">
        <v>778</v>
      </c>
      <c r="L779" s="17">
        <v>-2316.5315277572245</v>
      </c>
    </row>
    <row r="780" spans="11:12" x14ac:dyDescent="0.3">
      <c r="K780" s="4">
        <v>779</v>
      </c>
      <c r="L780" s="17">
        <v>2960.3180806847918</v>
      </c>
    </row>
    <row r="781" spans="11:12" x14ac:dyDescent="0.3">
      <c r="K781" s="4">
        <v>780</v>
      </c>
      <c r="L781" s="17">
        <v>2358.3832234386973</v>
      </c>
    </row>
    <row r="782" spans="11:12" x14ac:dyDescent="0.3">
      <c r="K782" s="4">
        <v>781</v>
      </c>
      <c r="L782" s="17">
        <v>2334.0060278458645</v>
      </c>
    </row>
    <row r="783" spans="11:12" x14ac:dyDescent="0.3">
      <c r="K783" s="4">
        <v>782</v>
      </c>
      <c r="L783" s="17">
        <v>2164.4508154842283</v>
      </c>
    </row>
    <row r="784" spans="11:12" x14ac:dyDescent="0.3">
      <c r="K784" s="4">
        <v>783</v>
      </c>
      <c r="L784" s="17">
        <v>1655.7423548219717</v>
      </c>
    </row>
    <row r="785" spans="11:12" x14ac:dyDescent="0.3">
      <c r="K785" s="4">
        <v>784</v>
      </c>
      <c r="L785" s="17">
        <v>707.71721698707393</v>
      </c>
    </row>
    <row r="786" spans="11:12" x14ac:dyDescent="0.3">
      <c r="K786" s="4">
        <v>785</v>
      </c>
      <c r="L786" s="17">
        <v>-4115.4852446618197</v>
      </c>
    </row>
    <row r="787" spans="11:12" x14ac:dyDescent="0.3">
      <c r="K787" s="4">
        <v>786</v>
      </c>
      <c r="L787" s="17">
        <v>-2521.3986749486326</v>
      </c>
    </row>
    <row r="788" spans="11:12" x14ac:dyDescent="0.3">
      <c r="K788" s="4">
        <v>787</v>
      </c>
      <c r="L788" s="17">
        <v>1136.0374264915552</v>
      </c>
    </row>
    <row r="789" spans="11:12" x14ac:dyDescent="0.3">
      <c r="K789" s="4">
        <v>788</v>
      </c>
      <c r="L789" s="17">
        <v>6273.7185061811479</v>
      </c>
    </row>
    <row r="790" spans="11:12" x14ac:dyDescent="0.3">
      <c r="K790" s="4">
        <v>789</v>
      </c>
      <c r="L790" s="17">
        <v>1207.5083747508704</v>
      </c>
    </row>
    <row r="791" spans="11:12" x14ac:dyDescent="0.3">
      <c r="K791" s="4">
        <v>790</v>
      </c>
      <c r="L791" s="17">
        <v>4023.1588538608517</v>
      </c>
    </row>
    <row r="792" spans="11:12" x14ac:dyDescent="0.3">
      <c r="K792" s="4">
        <v>791</v>
      </c>
      <c r="L792" s="17">
        <v>94.666078414948117</v>
      </c>
    </row>
    <row r="793" spans="11:12" x14ac:dyDescent="0.3">
      <c r="K793" s="4">
        <v>792</v>
      </c>
      <c r="L793" s="17">
        <v>1012.4901612988913</v>
      </c>
    </row>
    <row r="794" spans="11:12" x14ac:dyDescent="0.3">
      <c r="K794" s="4">
        <v>793</v>
      </c>
      <c r="L794" s="17">
        <v>-337.56600837042697</v>
      </c>
    </row>
    <row r="795" spans="11:12" x14ac:dyDescent="0.3">
      <c r="K795" s="4">
        <v>794</v>
      </c>
      <c r="L795" s="17">
        <v>-365.70023262402918</v>
      </c>
    </row>
    <row r="796" spans="11:12" x14ac:dyDescent="0.3">
      <c r="K796" s="4">
        <v>795</v>
      </c>
      <c r="L796" s="17">
        <v>834.20457600498366</v>
      </c>
    </row>
    <row r="797" spans="11:12" x14ac:dyDescent="0.3">
      <c r="K797" s="4">
        <v>796</v>
      </c>
      <c r="L797" s="17">
        <v>3734.4614714440518</v>
      </c>
    </row>
    <row r="798" spans="11:12" x14ac:dyDescent="0.3">
      <c r="K798" s="4">
        <v>797</v>
      </c>
      <c r="L798" s="17">
        <v>-7166.0275493163808</v>
      </c>
    </row>
    <row r="799" spans="11:12" x14ac:dyDescent="0.3">
      <c r="K799" s="4">
        <v>798</v>
      </c>
      <c r="L799" s="17">
        <v>-770.64061756527963</v>
      </c>
    </row>
    <row r="800" spans="11:12" x14ac:dyDescent="0.3">
      <c r="K800" s="4">
        <v>799</v>
      </c>
      <c r="L800" s="17">
        <v>2100.4268101349562</v>
      </c>
    </row>
    <row r="801" spans="11:12" x14ac:dyDescent="0.3">
      <c r="K801" s="4">
        <v>800</v>
      </c>
      <c r="L801" s="17">
        <v>-4051.706955033118</v>
      </c>
    </row>
    <row r="802" spans="11:12" x14ac:dyDescent="0.3">
      <c r="K802" s="4">
        <v>801</v>
      </c>
      <c r="L802" s="17">
        <v>-3667.1909511206341</v>
      </c>
    </row>
    <row r="803" spans="11:12" x14ac:dyDescent="0.3">
      <c r="K803" s="4">
        <v>802</v>
      </c>
      <c r="L803" s="17">
        <v>-1104.5040124702844</v>
      </c>
    </row>
    <row r="804" spans="11:12" x14ac:dyDescent="0.3">
      <c r="K804" s="4">
        <v>803</v>
      </c>
      <c r="L804" s="17">
        <v>-1648.319036242741</v>
      </c>
    </row>
    <row r="805" spans="11:12" x14ac:dyDescent="0.3">
      <c r="K805" s="4">
        <v>804</v>
      </c>
      <c r="L805" s="17">
        <v>434.73509622061334</v>
      </c>
    </row>
    <row r="806" spans="11:12" x14ac:dyDescent="0.3">
      <c r="K806" s="4">
        <v>805</v>
      </c>
      <c r="L806" s="17">
        <v>964.17464413630591</v>
      </c>
    </row>
    <row r="807" spans="11:12" x14ac:dyDescent="0.3">
      <c r="K807" s="4">
        <v>806</v>
      </c>
      <c r="L807" s="17">
        <v>1041.0923776596428</v>
      </c>
    </row>
    <row r="808" spans="11:12" x14ac:dyDescent="0.3">
      <c r="K808" s="4">
        <v>807</v>
      </c>
      <c r="L808" s="17">
        <v>-958.63036283729548</v>
      </c>
    </row>
    <row r="809" spans="11:12" x14ac:dyDescent="0.3">
      <c r="K809" s="4">
        <v>808</v>
      </c>
      <c r="L809" s="17">
        <v>-1458.8333295290038</v>
      </c>
    </row>
    <row r="810" spans="11:12" x14ac:dyDescent="0.3">
      <c r="K810" s="4">
        <v>809</v>
      </c>
      <c r="L810" s="17">
        <v>1872.8873636611484</v>
      </c>
    </row>
    <row r="811" spans="11:12" x14ac:dyDescent="0.3">
      <c r="K811" s="4">
        <v>810</v>
      </c>
      <c r="L811" s="17">
        <v>9505.4119474992713</v>
      </c>
    </row>
    <row r="812" spans="11:12" x14ac:dyDescent="0.3">
      <c r="K812" s="4">
        <v>811</v>
      </c>
      <c r="L812" s="17">
        <v>1757.182415319262</v>
      </c>
    </row>
    <row r="813" spans="11:12" x14ac:dyDescent="0.3">
      <c r="K813" s="4">
        <v>812</v>
      </c>
      <c r="L813" s="17">
        <v>-3692.0594515950074</v>
      </c>
    </row>
    <row r="814" spans="11:12" x14ac:dyDescent="0.3">
      <c r="K814" s="4">
        <v>813</v>
      </c>
      <c r="L814" s="17">
        <v>-1524.2556028524571</v>
      </c>
    </row>
    <row r="815" spans="11:12" x14ac:dyDescent="0.3">
      <c r="K815" s="4">
        <v>814</v>
      </c>
      <c r="L815" s="17">
        <v>970.92282997926759</v>
      </c>
    </row>
    <row r="816" spans="11:12" x14ac:dyDescent="0.3">
      <c r="K816" s="4">
        <v>815</v>
      </c>
      <c r="L816" s="17">
        <v>-1164.5860055047367</v>
      </c>
    </row>
    <row r="817" spans="11:12" x14ac:dyDescent="0.3">
      <c r="K817" s="4">
        <v>816</v>
      </c>
      <c r="L817" s="17">
        <v>1724.2741532384866</v>
      </c>
    </row>
    <row r="818" spans="11:12" x14ac:dyDescent="0.3">
      <c r="K818" s="4">
        <v>817</v>
      </c>
      <c r="L818" s="17">
        <v>325.73371167703209</v>
      </c>
    </row>
    <row r="819" spans="11:12" x14ac:dyDescent="0.3">
      <c r="K819" s="4">
        <v>818</v>
      </c>
      <c r="L819" s="17">
        <v>-3262.0964233402665</v>
      </c>
    </row>
    <row r="820" spans="11:12" x14ac:dyDescent="0.3">
      <c r="K820" s="4">
        <v>819</v>
      </c>
      <c r="L820" s="17">
        <v>-2624.7303930121407</v>
      </c>
    </row>
    <row r="821" spans="11:12" x14ac:dyDescent="0.3">
      <c r="K821" s="4">
        <v>820</v>
      </c>
      <c r="L821" s="17">
        <v>-617.0938059833818</v>
      </c>
    </row>
    <row r="822" spans="11:12" x14ac:dyDescent="0.3">
      <c r="K822" s="4">
        <v>821</v>
      </c>
      <c r="L822" s="17">
        <v>486.73495701268456</v>
      </c>
    </row>
    <row r="823" spans="11:12" x14ac:dyDescent="0.3">
      <c r="K823" s="4">
        <v>822</v>
      </c>
      <c r="L823" s="17">
        <v>-2904.2723740935176</v>
      </c>
    </row>
    <row r="824" spans="11:12" x14ac:dyDescent="0.3">
      <c r="K824" s="4">
        <v>823</v>
      </c>
      <c r="L824" s="17">
        <v>-1320.9404399755383</v>
      </c>
    </row>
    <row r="825" spans="11:12" x14ac:dyDescent="0.3">
      <c r="K825" s="4">
        <v>824</v>
      </c>
      <c r="L825" s="17">
        <v>-203.00948355425777</v>
      </c>
    </row>
    <row r="826" spans="11:12" x14ac:dyDescent="0.3">
      <c r="K826" s="4">
        <v>825</v>
      </c>
      <c r="L826" s="17">
        <v>-4650.1598569358284</v>
      </c>
    </row>
    <row r="827" spans="11:12" x14ac:dyDescent="0.3">
      <c r="K827" s="4">
        <v>826</v>
      </c>
      <c r="L827" s="17">
        <v>-5521.5492426905657</v>
      </c>
    </row>
    <row r="828" spans="11:12" x14ac:dyDescent="0.3">
      <c r="K828" s="4">
        <v>827</v>
      </c>
      <c r="L828" s="17">
        <v>-1642.179063499188</v>
      </c>
    </row>
    <row r="829" spans="11:12" x14ac:dyDescent="0.3">
      <c r="K829" s="4">
        <v>828</v>
      </c>
      <c r="L829" s="17">
        <v>93.108888265224721</v>
      </c>
    </row>
    <row r="830" spans="11:12" x14ac:dyDescent="0.3">
      <c r="K830" s="4">
        <v>829</v>
      </c>
      <c r="L830" s="17">
        <v>-1305.6907839158978</v>
      </c>
    </row>
    <row r="831" spans="11:12" x14ac:dyDescent="0.3">
      <c r="K831" s="4">
        <v>830</v>
      </c>
      <c r="L831" s="17">
        <v>-873.62290463087106</v>
      </c>
    </row>
    <row r="832" spans="11:12" x14ac:dyDescent="0.3">
      <c r="K832" s="4">
        <v>831</v>
      </c>
      <c r="L832" s="17">
        <v>-3348.4988461388375</v>
      </c>
    </row>
    <row r="833" spans="11:12" x14ac:dyDescent="0.3">
      <c r="K833" s="4">
        <v>832</v>
      </c>
      <c r="L833" s="17">
        <v>3076.8539486645022</v>
      </c>
    </row>
    <row r="834" spans="11:12" x14ac:dyDescent="0.3">
      <c r="K834" s="4">
        <v>833</v>
      </c>
      <c r="L834" s="17">
        <v>4332.9054996985278</v>
      </c>
    </row>
    <row r="835" spans="11:12" x14ac:dyDescent="0.3">
      <c r="K835" s="4">
        <v>834</v>
      </c>
      <c r="L835" s="17">
        <v>4616.5528711316529</v>
      </c>
    </row>
    <row r="836" spans="11:12" x14ac:dyDescent="0.3">
      <c r="K836" s="4">
        <v>835</v>
      </c>
      <c r="L836" s="17">
        <v>1696.6538966932817</v>
      </c>
    </row>
    <row r="837" spans="11:12" x14ac:dyDescent="0.3">
      <c r="K837" s="4">
        <v>836</v>
      </c>
      <c r="L837" s="17">
        <v>-847.98081251605663</v>
      </c>
    </row>
    <row r="838" spans="11:12" x14ac:dyDescent="0.3">
      <c r="K838" s="4">
        <v>837</v>
      </c>
      <c r="L838" s="17">
        <v>4041.4700921642848</v>
      </c>
    </row>
    <row r="839" spans="11:12" x14ac:dyDescent="0.3">
      <c r="K839" s="4">
        <v>838</v>
      </c>
      <c r="L839" s="17">
        <v>-2090.4831069309234</v>
      </c>
    </row>
    <row r="840" spans="11:12" x14ac:dyDescent="0.3">
      <c r="K840" s="4">
        <v>839</v>
      </c>
      <c r="L840" s="17">
        <v>3355.8328200092101</v>
      </c>
    </row>
    <row r="841" spans="11:12" x14ac:dyDescent="0.3">
      <c r="K841" s="4">
        <v>840</v>
      </c>
      <c r="L841" s="17">
        <v>472.93845576048892</v>
      </c>
    </row>
    <row r="842" spans="11:12" x14ac:dyDescent="0.3">
      <c r="K842" s="4">
        <v>841</v>
      </c>
      <c r="L842" s="17">
        <v>-2216.4360160856859</v>
      </c>
    </row>
    <row r="843" spans="11:12" x14ac:dyDescent="0.3">
      <c r="K843" s="4">
        <v>842</v>
      </c>
      <c r="L843" s="17">
        <v>2410.9183551864958</v>
      </c>
    </row>
    <row r="844" spans="11:12" x14ac:dyDescent="0.3">
      <c r="K844" s="4">
        <v>843</v>
      </c>
      <c r="L844" s="17">
        <v>6617.1121545921051</v>
      </c>
    </row>
    <row r="845" spans="11:12" x14ac:dyDescent="0.3">
      <c r="K845" s="4">
        <v>844</v>
      </c>
      <c r="L845" s="17">
        <v>569.79927279951471</v>
      </c>
    </row>
    <row r="846" spans="11:12" x14ac:dyDescent="0.3">
      <c r="K846" s="4">
        <v>845</v>
      </c>
      <c r="L846" s="17">
        <v>-4334.6993706607755</v>
      </c>
    </row>
    <row r="847" spans="11:12" x14ac:dyDescent="0.3">
      <c r="K847" s="4">
        <v>846</v>
      </c>
      <c r="L847" s="17">
        <v>1767.9206346720912</v>
      </c>
    </row>
    <row r="848" spans="11:12" x14ac:dyDescent="0.3">
      <c r="K848" s="4">
        <v>847</v>
      </c>
      <c r="L848" s="17">
        <v>-4319.3690535080304</v>
      </c>
    </row>
    <row r="849" spans="11:12" x14ac:dyDescent="0.3">
      <c r="K849" s="4">
        <v>848</v>
      </c>
      <c r="L849" s="17">
        <v>-1404.6872439690535</v>
      </c>
    </row>
    <row r="850" spans="11:12" x14ac:dyDescent="0.3">
      <c r="K850" s="4">
        <v>849</v>
      </c>
      <c r="L850" s="17">
        <v>1659.3133215771586</v>
      </c>
    </row>
    <row r="851" spans="11:12" x14ac:dyDescent="0.3">
      <c r="K851" s="4">
        <v>850</v>
      </c>
      <c r="L851" s="17">
        <v>383.66629344175698</v>
      </c>
    </row>
    <row r="852" spans="11:12" x14ac:dyDescent="0.3">
      <c r="K852" s="4">
        <v>851</v>
      </c>
      <c r="L852" s="17">
        <v>-247.73579396027569</v>
      </c>
    </row>
    <row r="853" spans="11:12" x14ac:dyDescent="0.3">
      <c r="K853" s="4">
        <v>852</v>
      </c>
      <c r="L853" s="17">
        <v>-3231.0026217222976</v>
      </c>
    </row>
    <row r="854" spans="11:12" x14ac:dyDescent="0.3">
      <c r="K854" s="4">
        <v>853</v>
      </c>
      <c r="L854" s="17">
        <v>-1983.2196194199084</v>
      </c>
    </row>
    <row r="855" spans="11:12" x14ac:dyDescent="0.3">
      <c r="K855" s="4">
        <v>854</v>
      </c>
      <c r="L855" s="17">
        <v>2264.1617100826425</v>
      </c>
    </row>
    <row r="856" spans="11:12" x14ac:dyDescent="0.3">
      <c r="K856" s="4">
        <v>855</v>
      </c>
      <c r="L856" s="17">
        <v>5646.4725137995247</v>
      </c>
    </row>
    <row r="857" spans="11:12" x14ac:dyDescent="0.3">
      <c r="K857" s="4">
        <v>856</v>
      </c>
      <c r="L857" s="17">
        <v>2073.7685331075222</v>
      </c>
    </row>
    <row r="858" spans="11:12" x14ac:dyDescent="0.3">
      <c r="K858" s="4">
        <v>857</v>
      </c>
      <c r="L858" s="17">
        <v>1967.455947724723</v>
      </c>
    </row>
    <row r="859" spans="11:12" x14ac:dyDescent="0.3">
      <c r="K859" s="4">
        <v>858</v>
      </c>
      <c r="L859" s="17">
        <v>2834.1009113412247</v>
      </c>
    </row>
    <row r="860" spans="11:12" x14ac:dyDescent="0.3">
      <c r="K860" s="4">
        <v>859</v>
      </c>
      <c r="L860" s="17">
        <v>-2544.2881687226159</v>
      </c>
    </row>
    <row r="861" spans="11:12" x14ac:dyDescent="0.3">
      <c r="K861" s="4">
        <v>860</v>
      </c>
      <c r="L861" s="17">
        <v>-3122.8011237884521</v>
      </c>
    </row>
    <row r="862" spans="11:12" x14ac:dyDescent="0.3">
      <c r="K862" s="4">
        <v>861</v>
      </c>
      <c r="L862" s="17">
        <v>1019.3414517543124</v>
      </c>
    </row>
    <row r="863" spans="11:12" x14ac:dyDescent="0.3">
      <c r="K863" s="4">
        <v>862</v>
      </c>
      <c r="L863" s="17">
        <v>1156.9802328694536</v>
      </c>
    </row>
    <row r="864" spans="11:12" x14ac:dyDescent="0.3">
      <c r="K864" s="4">
        <v>863</v>
      </c>
      <c r="L864" s="17">
        <v>1827.3906947349697</v>
      </c>
    </row>
    <row r="865" spans="11:12" x14ac:dyDescent="0.3">
      <c r="K865" s="4">
        <v>864</v>
      </c>
      <c r="L865" s="17">
        <v>-2242.3262305943795</v>
      </c>
    </row>
    <row r="866" spans="11:12" x14ac:dyDescent="0.3">
      <c r="K866" s="4">
        <v>865</v>
      </c>
      <c r="L866" s="17">
        <v>-6548.2160840407723</v>
      </c>
    </row>
    <row r="867" spans="11:12" x14ac:dyDescent="0.3">
      <c r="K867" s="4">
        <v>866</v>
      </c>
      <c r="L867" s="17">
        <v>961.5447644688461</v>
      </c>
    </row>
    <row r="868" spans="11:12" x14ac:dyDescent="0.3">
      <c r="K868" s="4">
        <v>867</v>
      </c>
      <c r="L868" s="17">
        <v>-1193.6279872888235</v>
      </c>
    </row>
    <row r="869" spans="11:12" x14ac:dyDescent="0.3">
      <c r="K869" s="4">
        <v>868</v>
      </c>
      <c r="L869" s="17">
        <v>-5543.9379515331584</v>
      </c>
    </row>
    <row r="870" spans="11:12" x14ac:dyDescent="0.3">
      <c r="K870" s="4">
        <v>869</v>
      </c>
      <c r="L870" s="17">
        <v>-1138.1803124550627</v>
      </c>
    </row>
    <row r="871" spans="11:12" x14ac:dyDescent="0.3">
      <c r="K871" s="4">
        <v>870</v>
      </c>
      <c r="L871" s="17">
        <v>-6336.6175412409711</v>
      </c>
    </row>
    <row r="872" spans="11:12" x14ac:dyDescent="0.3">
      <c r="K872" s="4">
        <v>871</v>
      </c>
      <c r="L872" s="17">
        <v>-1684.7458062191406</v>
      </c>
    </row>
    <row r="873" spans="11:12" x14ac:dyDescent="0.3">
      <c r="K873" s="4">
        <v>872</v>
      </c>
      <c r="L873" s="17">
        <v>-168.81292417247232</v>
      </c>
    </row>
    <row r="874" spans="11:12" x14ac:dyDescent="0.3">
      <c r="K874" s="4">
        <v>873</v>
      </c>
      <c r="L874" s="17">
        <v>760.96401781219265</v>
      </c>
    </row>
    <row r="875" spans="11:12" x14ac:dyDescent="0.3">
      <c r="K875" s="4">
        <v>874</v>
      </c>
      <c r="L875" s="17">
        <v>388.44571333912251</v>
      </c>
    </row>
    <row r="876" spans="11:12" x14ac:dyDescent="0.3">
      <c r="K876" s="4">
        <v>875</v>
      </c>
      <c r="L876" s="17">
        <v>-4322.7046418583977</v>
      </c>
    </row>
    <row r="877" spans="11:12" x14ac:dyDescent="0.3">
      <c r="K877" s="4">
        <v>876</v>
      </c>
      <c r="L877" s="17">
        <v>-2665.1520906402161</v>
      </c>
    </row>
    <row r="878" spans="11:12" x14ac:dyDescent="0.3">
      <c r="K878" s="4">
        <v>877</v>
      </c>
      <c r="L878" s="17">
        <v>816.3307910559854</v>
      </c>
    </row>
    <row r="879" spans="11:12" x14ac:dyDescent="0.3">
      <c r="K879" s="4">
        <v>878</v>
      </c>
      <c r="L879" s="17">
        <v>-5958.427785983773</v>
      </c>
    </row>
    <row r="880" spans="11:12" x14ac:dyDescent="0.3">
      <c r="K880" s="4">
        <v>879</v>
      </c>
      <c r="L880" s="17">
        <v>4790.7804886205677</v>
      </c>
    </row>
    <row r="881" spans="11:12" x14ac:dyDescent="0.3">
      <c r="K881" s="4">
        <v>880</v>
      </c>
      <c r="L881" s="17">
        <v>-3601.0014518502926</v>
      </c>
    </row>
    <row r="882" spans="11:12" x14ac:dyDescent="0.3">
      <c r="K882" s="4">
        <v>881</v>
      </c>
      <c r="L882" s="17">
        <v>26.659367469871142</v>
      </c>
    </row>
    <row r="883" spans="11:12" x14ac:dyDescent="0.3">
      <c r="K883" s="4">
        <v>882</v>
      </c>
      <c r="L883" s="17">
        <v>-5030.8797208114402</v>
      </c>
    </row>
    <row r="884" spans="11:12" x14ac:dyDescent="0.3">
      <c r="K884" s="4">
        <v>883</v>
      </c>
      <c r="L884" s="17">
        <v>-3822.5223636873347</v>
      </c>
    </row>
    <row r="885" spans="11:12" x14ac:dyDescent="0.3">
      <c r="K885" s="4">
        <v>884</v>
      </c>
      <c r="L885" s="17">
        <v>1704.5667406445295</v>
      </c>
    </row>
    <row r="886" spans="11:12" x14ac:dyDescent="0.3">
      <c r="K886" s="4">
        <v>885</v>
      </c>
      <c r="L886" s="17">
        <v>-107.44839294693355</v>
      </c>
    </row>
    <row r="887" spans="11:12" x14ac:dyDescent="0.3">
      <c r="K887" s="4">
        <v>886</v>
      </c>
      <c r="L887" s="17">
        <v>1272.9416624650669</v>
      </c>
    </row>
    <row r="888" spans="11:12" x14ac:dyDescent="0.3">
      <c r="K888" s="4">
        <v>887</v>
      </c>
      <c r="L888" s="17">
        <v>-1748.316167292629</v>
      </c>
    </row>
    <row r="889" spans="11:12" x14ac:dyDescent="0.3">
      <c r="K889" s="4">
        <v>888</v>
      </c>
      <c r="L889" s="17">
        <v>5118.0625212153536</v>
      </c>
    </row>
    <row r="890" spans="11:12" x14ac:dyDescent="0.3">
      <c r="K890" s="4">
        <v>889</v>
      </c>
      <c r="L890" s="17">
        <v>-7675.5251847170675</v>
      </c>
    </row>
    <row r="891" spans="11:12" x14ac:dyDescent="0.3">
      <c r="K891" s="4">
        <v>890</v>
      </c>
      <c r="L891" s="17">
        <v>239.64443143177192</v>
      </c>
    </row>
    <row r="892" spans="11:12" x14ac:dyDescent="0.3">
      <c r="K892" s="4">
        <v>891</v>
      </c>
      <c r="L892" s="17">
        <v>-8321.4207961427128</v>
      </c>
    </row>
    <row r="893" spans="11:12" x14ac:dyDescent="0.3">
      <c r="K893" s="4">
        <v>892</v>
      </c>
      <c r="L893" s="17">
        <v>1405.4329319615715</v>
      </c>
    </row>
    <row r="894" spans="11:12" x14ac:dyDescent="0.3">
      <c r="K894" s="4">
        <v>893</v>
      </c>
      <c r="L894" s="17">
        <v>1379.2492959517931</v>
      </c>
    </row>
    <row r="895" spans="11:12" x14ac:dyDescent="0.3">
      <c r="K895" s="4">
        <v>894</v>
      </c>
      <c r="L895" s="17">
        <v>-3012.0477606670856</v>
      </c>
    </row>
    <row r="896" spans="11:12" x14ac:dyDescent="0.3">
      <c r="K896" s="4">
        <v>895</v>
      </c>
      <c r="L896" s="17">
        <v>1446.3615316834619</v>
      </c>
    </row>
    <row r="897" spans="11:12" x14ac:dyDescent="0.3">
      <c r="K897" s="4">
        <v>896</v>
      </c>
      <c r="L897" s="17">
        <v>-4371.9792741096899</v>
      </c>
    </row>
    <row r="898" spans="11:12" x14ac:dyDescent="0.3">
      <c r="K898" s="4">
        <v>897</v>
      </c>
      <c r="L898" s="17">
        <v>354.03418536619478</v>
      </c>
    </row>
    <row r="899" spans="11:12" x14ac:dyDescent="0.3">
      <c r="K899" s="4">
        <v>898</v>
      </c>
      <c r="L899" s="17">
        <v>-1943.6203027684635</v>
      </c>
    </row>
    <row r="900" spans="11:12" x14ac:dyDescent="0.3">
      <c r="K900" s="4">
        <v>899</v>
      </c>
      <c r="L900" s="17">
        <v>-862.00995266301538</v>
      </c>
    </row>
    <row r="901" spans="11:12" x14ac:dyDescent="0.3">
      <c r="K901" s="4">
        <v>900</v>
      </c>
      <c r="L901" s="17">
        <v>5088.2526824492561</v>
      </c>
    </row>
    <row r="902" spans="11:12" x14ac:dyDescent="0.3">
      <c r="K902" s="4">
        <v>901</v>
      </c>
      <c r="L902" s="17">
        <v>-1996.3699039790092</v>
      </c>
    </row>
    <row r="903" spans="11:12" x14ac:dyDescent="0.3">
      <c r="K903" s="4">
        <v>902</v>
      </c>
      <c r="L903" s="17">
        <v>983.77236068083812</v>
      </c>
    </row>
    <row r="904" spans="11:12" x14ac:dyDescent="0.3">
      <c r="K904" s="4">
        <v>903</v>
      </c>
      <c r="L904" s="17">
        <v>6885.7224357486703</v>
      </c>
    </row>
    <row r="905" spans="11:12" x14ac:dyDescent="0.3">
      <c r="K905" s="4">
        <v>904</v>
      </c>
      <c r="L905" s="17">
        <v>-796.87605523747015</v>
      </c>
    </row>
    <row r="906" spans="11:12" x14ac:dyDescent="0.3">
      <c r="K906" s="4">
        <v>905</v>
      </c>
      <c r="L906" s="17">
        <v>5903.4073795973836</v>
      </c>
    </row>
    <row r="907" spans="11:12" x14ac:dyDescent="0.3">
      <c r="K907" s="4">
        <v>906</v>
      </c>
      <c r="L907" s="17">
        <v>5758.6692922738093</v>
      </c>
    </row>
    <row r="908" spans="11:12" x14ac:dyDescent="0.3">
      <c r="K908" s="4">
        <v>907</v>
      </c>
      <c r="L908" s="17">
        <v>-6619.5608880242507</v>
      </c>
    </row>
    <row r="909" spans="11:12" x14ac:dyDescent="0.3">
      <c r="K909" s="4">
        <v>908</v>
      </c>
      <c r="L909" s="17">
        <v>-2392.5871320803626</v>
      </c>
    </row>
    <row r="910" spans="11:12" x14ac:dyDescent="0.3">
      <c r="K910" s="4">
        <v>909</v>
      </c>
      <c r="L910" s="17">
        <v>-4731.9476707598906</v>
      </c>
    </row>
    <row r="911" spans="11:12" x14ac:dyDescent="0.3">
      <c r="K911" s="4">
        <v>910</v>
      </c>
      <c r="L911" s="17">
        <v>3443.9252454731886</v>
      </c>
    </row>
    <row r="912" spans="11:12" x14ac:dyDescent="0.3">
      <c r="K912" s="4">
        <v>911</v>
      </c>
      <c r="L912" s="17">
        <v>-2615.5674653329957</v>
      </c>
    </row>
    <row r="913" spans="11:12" x14ac:dyDescent="0.3">
      <c r="K913" s="4">
        <v>912</v>
      </c>
      <c r="L913" s="17">
        <v>-2090.0526883895905</v>
      </c>
    </row>
    <row r="914" spans="11:12" x14ac:dyDescent="0.3">
      <c r="K914" s="4">
        <v>913</v>
      </c>
      <c r="L914" s="17">
        <v>5264.8669877243019</v>
      </c>
    </row>
    <row r="915" spans="11:12" x14ac:dyDescent="0.3">
      <c r="K915" s="4">
        <v>914</v>
      </c>
      <c r="L915" s="17">
        <v>-6673.9047460682177</v>
      </c>
    </row>
    <row r="916" spans="11:12" x14ac:dyDescent="0.3">
      <c r="K916" s="4">
        <v>915</v>
      </c>
      <c r="L916" s="17">
        <v>2943.6414711942875</v>
      </c>
    </row>
    <row r="917" spans="11:12" x14ac:dyDescent="0.3">
      <c r="K917" s="4">
        <v>916</v>
      </c>
      <c r="L917" s="17">
        <v>3844.0251981851911</v>
      </c>
    </row>
    <row r="918" spans="11:12" x14ac:dyDescent="0.3">
      <c r="K918" s="4">
        <v>917</v>
      </c>
      <c r="L918" s="17">
        <v>2383.7535855150345</v>
      </c>
    </row>
    <row r="919" spans="11:12" x14ac:dyDescent="0.3">
      <c r="K919" s="4">
        <v>918</v>
      </c>
      <c r="L919" s="17">
        <v>-2783.9894268562794</v>
      </c>
    </row>
    <row r="920" spans="11:12" x14ac:dyDescent="0.3">
      <c r="K920" s="4">
        <v>919</v>
      </c>
      <c r="L920" s="17">
        <v>2111.8223164763413</v>
      </c>
    </row>
    <row r="921" spans="11:12" x14ac:dyDescent="0.3">
      <c r="K921" s="4">
        <v>920</v>
      </c>
      <c r="L921" s="17">
        <v>-207.96760064936583</v>
      </c>
    </row>
    <row r="922" spans="11:12" x14ac:dyDescent="0.3">
      <c r="K922" s="4">
        <v>921</v>
      </c>
      <c r="L922" s="17">
        <v>1145.5868264056492</v>
      </c>
    </row>
    <row r="923" spans="11:12" x14ac:dyDescent="0.3">
      <c r="K923" s="4">
        <v>922</v>
      </c>
      <c r="L923" s="17">
        <v>927.59769854095543</v>
      </c>
    </row>
    <row r="924" spans="11:12" x14ac:dyDescent="0.3">
      <c r="K924" s="4">
        <v>923</v>
      </c>
      <c r="L924" s="17">
        <v>-3036.5980602566988</v>
      </c>
    </row>
    <row r="925" spans="11:12" x14ac:dyDescent="0.3">
      <c r="K925" s="4">
        <v>924</v>
      </c>
      <c r="L925" s="17">
        <v>1815.4605048429557</v>
      </c>
    </row>
    <row r="926" spans="11:12" x14ac:dyDescent="0.3">
      <c r="K926" s="4">
        <v>925</v>
      </c>
      <c r="L926" s="17">
        <v>-2119.9635962761363</v>
      </c>
    </row>
    <row r="927" spans="11:12" x14ac:dyDescent="0.3">
      <c r="K927" s="4">
        <v>926</v>
      </c>
      <c r="L927" s="17">
        <v>15.035611178810427</v>
      </c>
    </row>
    <row r="928" spans="11:12" x14ac:dyDescent="0.3">
      <c r="K928" s="4">
        <v>927</v>
      </c>
      <c r="L928" s="17">
        <v>3182.8142834354508</v>
      </c>
    </row>
    <row r="929" spans="11:12" x14ac:dyDescent="0.3">
      <c r="K929" s="4">
        <v>928</v>
      </c>
      <c r="L929" s="17">
        <v>6501.2064766584845</v>
      </c>
    </row>
    <row r="930" spans="11:12" x14ac:dyDescent="0.3">
      <c r="K930" s="4">
        <v>929</v>
      </c>
      <c r="L930" s="17">
        <v>623.12672799365168</v>
      </c>
    </row>
    <row r="931" spans="11:12" x14ac:dyDescent="0.3">
      <c r="K931" s="4">
        <v>930</v>
      </c>
      <c r="L931" s="17">
        <v>-1995.6367841946076</v>
      </c>
    </row>
    <row r="932" spans="11:12" x14ac:dyDescent="0.3">
      <c r="K932" s="4">
        <v>931</v>
      </c>
      <c r="L932" s="17">
        <v>-1078.4392144070869</v>
      </c>
    </row>
    <row r="933" spans="11:12" x14ac:dyDescent="0.3">
      <c r="K933" s="4">
        <v>932</v>
      </c>
      <c r="L933" s="17">
        <v>1770.9614561702379</v>
      </c>
    </row>
    <row r="934" spans="11:12" x14ac:dyDescent="0.3">
      <c r="K934" s="4">
        <v>933</v>
      </c>
      <c r="L934" s="17">
        <v>-1785.5990342443934</v>
      </c>
    </row>
    <row r="935" spans="11:12" x14ac:dyDescent="0.3">
      <c r="K935" s="4">
        <v>934</v>
      </c>
      <c r="L935" s="17">
        <v>-5479.2361833171744</v>
      </c>
    </row>
    <row r="936" spans="11:12" x14ac:dyDescent="0.3">
      <c r="K936" s="4">
        <v>935</v>
      </c>
      <c r="L936" s="17">
        <v>5626.9592572610509</v>
      </c>
    </row>
    <row r="937" spans="11:12" x14ac:dyDescent="0.3">
      <c r="K937" s="4">
        <v>936</v>
      </c>
      <c r="L937" s="17">
        <v>-2508.2693305149942</v>
      </c>
    </row>
    <row r="938" spans="11:12" x14ac:dyDescent="0.3">
      <c r="K938" s="4">
        <v>937</v>
      </c>
      <c r="L938" s="17">
        <v>-4668.4963925892725</v>
      </c>
    </row>
    <row r="939" spans="11:12" x14ac:dyDescent="0.3">
      <c r="K939" s="4">
        <v>938</v>
      </c>
      <c r="L939" s="17">
        <v>9908.4430074689335</v>
      </c>
    </row>
    <row r="940" spans="11:12" x14ac:dyDescent="0.3">
      <c r="K940" s="4">
        <v>939</v>
      </c>
      <c r="L940" s="17">
        <v>2521.2332446419746</v>
      </c>
    </row>
    <row r="941" spans="11:12" x14ac:dyDescent="0.3">
      <c r="K941" s="4">
        <v>940</v>
      </c>
      <c r="L941" s="17">
        <v>2507.9847038742414</v>
      </c>
    </row>
    <row r="942" spans="11:12" x14ac:dyDescent="0.3">
      <c r="K942" s="4">
        <v>941</v>
      </c>
      <c r="L942" s="17">
        <v>-2127.356178620993</v>
      </c>
    </row>
    <row r="943" spans="11:12" x14ac:dyDescent="0.3">
      <c r="K943" s="4">
        <v>942</v>
      </c>
      <c r="L943" s="17">
        <v>7212.3576077438765</v>
      </c>
    </row>
    <row r="944" spans="11:12" x14ac:dyDescent="0.3">
      <c r="K944" s="4">
        <v>943</v>
      </c>
      <c r="L944" s="17">
        <v>-63.406247445641611</v>
      </c>
    </row>
    <row r="945" spans="11:12" x14ac:dyDescent="0.3">
      <c r="K945" s="4">
        <v>944</v>
      </c>
      <c r="L945" s="17">
        <v>-1613.2828117804891</v>
      </c>
    </row>
    <row r="946" spans="11:12" x14ac:dyDescent="0.3">
      <c r="K946" s="4">
        <v>945</v>
      </c>
      <c r="L946" s="17">
        <v>5382.1937840708533</v>
      </c>
    </row>
    <row r="947" spans="11:12" x14ac:dyDescent="0.3">
      <c r="K947" s="4">
        <v>946</v>
      </c>
      <c r="L947" s="17">
        <v>-6010.8007887032336</v>
      </c>
    </row>
    <row r="948" spans="11:12" x14ac:dyDescent="0.3">
      <c r="K948" s="4">
        <v>947</v>
      </c>
      <c r="L948" s="17">
        <v>5082.1269079192843</v>
      </c>
    </row>
    <row r="949" spans="11:12" x14ac:dyDescent="0.3">
      <c r="K949" s="4">
        <v>948</v>
      </c>
      <c r="L949" s="17">
        <v>-5499.6237183880521</v>
      </c>
    </row>
    <row r="950" spans="11:12" x14ac:dyDescent="0.3">
      <c r="K950" s="4">
        <v>949</v>
      </c>
      <c r="L950" s="17">
        <v>-3276.1165672858633</v>
      </c>
    </row>
    <row r="951" spans="11:12" x14ac:dyDescent="0.3">
      <c r="K951" s="4">
        <v>950</v>
      </c>
      <c r="L951" s="17">
        <v>-998.73555861110026</v>
      </c>
    </row>
    <row r="952" spans="11:12" x14ac:dyDescent="0.3">
      <c r="K952" s="4">
        <v>951</v>
      </c>
      <c r="L952" s="17">
        <v>-5180.9349665160016</v>
      </c>
    </row>
    <row r="953" spans="11:12" x14ac:dyDescent="0.3">
      <c r="K953" s="4">
        <v>952</v>
      </c>
      <c r="L953" s="17">
        <v>74.417020295635723</v>
      </c>
    </row>
    <row r="954" spans="11:12" x14ac:dyDescent="0.3">
      <c r="K954" s="4">
        <v>953</v>
      </c>
      <c r="L954" s="17">
        <v>2285.8343454487913</v>
      </c>
    </row>
    <row r="955" spans="11:12" x14ac:dyDescent="0.3">
      <c r="K955" s="4">
        <v>954</v>
      </c>
      <c r="L955" s="17">
        <v>-1545.1348351809941</v>
      </c>
    </row>
    <row r="956" spans="11:12" x14ac:dyDescent="0.3">
      <c r="K956" s="4">
        <v>955</v>
      </c>
      <c r="L956" s="17">
        <v>-8674.2064861892031</v>
      </c>
    </row>
    <row r="957" spans="11:12" x14ac:dyDescent="0.3">
      <c r="K957" s="4">
        <v>956</v>
      </c>
      <c r="L957" s="17">
        <v>-3560.0756610251715</v>
      </c>
    </row>
    <row r="958" spans="11:12" x14ac:dyDescent="0.3">
      <c r="K958" s="4">
        <v>957</v>
      </c>
      <c r="L958" s="17">
        <v>-361.98368936779809</v>
      </c>
    </row>
    <row r="959" spans="11:12" x14ac:dyDescent="0.3">
      <c r="K959" s="4">
        <v>958</v>
      </c>
      <c r="L959" s="17">
        <v>-3535.4063263925068</v>
      </c>
    </row>
    <row r="960" spans="11:12" x14ac:dyDescent="0.3">
      <c r="K960" s="4">
        <v>959</v>
      </c>
      <c r="L960" s="17">
        <v>1614.5778011018219</v>
      </c>
    </row>
    <row r="961" spans="11:12" x14ac:dyDescent="0.3">
      <c r="K961" s="4">
        <v>960</v>
      </c>
      <c r="L961" s="17">
        <v>-4076.2940860005656</v>
      </c>
    </row>
    <row r="962" spans="11:12" x14ac:dyDescent="0.3">
      <c r="K962" s="4">
        <v>961</v>
      </c>
      <c r="L962" s="17">
        <v>4137.8389496432483</v>
      </c>
    </row>
    <row r="963" spans="11:12" x14ac:dyDescent="0.3">
      <c r="K963" s="4">
        <v>962</v>
      </c>
      <c r="L963" s="17">
        <v>-463.51782710397623</v>
      </c>
    </row>
    <row r="964" spans="11:12" x14ac:dyDescent="0.3">
      <c r="K964" s="4">
        <v>963</v>
      </c>
      <c r="L964" s="17">
        <v>781.33321003016181</v>
      </c>
    </row>
    <row r="965" spans="11:12" x14ac:dyDescent="0.3">
      <c r="K965" s="4">
        <v>964</v>
      </c>
      <c r="L965" s="17">
        <v>3681.3023729595002</v>
      </c>
    </row>
    <row r="966" spans="11:12" x14ac:dyDescent="0.3">
      <c r="K966" s="4">
        <v>965</v>
      </c>
      <c r="L966" s="17">
        <v>-678.40071808630819</v>
      </c>
    </row>
    <row r="967" spans="11:12" x14ac:dyDescent="0.3">
      <c r="K967" s="4">
        <v>966</v>
      </c>
      <c r="L967" s="17">
        <v>620.51264225540172</v>
      </c>
    </row>
    <row r="968" spans="11:12" x14ac:dyDescent="0.3">
      <c r="K968" s="4">
        <v>967</v>
      </c>
      <c r="L968" s="17">
        <v>-4740.8004603008321</v>
      </c>
    </row>
    <row r="969" spans="11:12" x14ac:dyDescent="0.3">
      <c r="K969" s="4">
        <v>968</v>
      </c>
      <c r="L969" s="17">
        <v>617.92522847057148</v>
      </c>
    </row>
    <row r="970" spans="11:12" x14ac:dyDescent="0.3">
      <c r="K970" s="4">
        <v>969</v>
      </c>
      <c r="L970" s="17">
        <v>116.17296979170936</v>
      </c>
    </row>
    <row r="971" spans="11:12" x14ac:dyDescent="0.3">
      <c r="K971" s="4">
        <v>970</v>
      </c>
      <c r="L971" s="17">
        <v>-8810.7497088012788</v>
      </c>
    </row>
    <row r="972" spans="11:12" x14ac:dyDescent="0.3">
      <c r="K972" s="4">
        <v>971</v>
      </c>
      <c r="L972" s="17">
        <v>4205.2575530777831</v>
      </c>
    </row>
    <row r="973" spans="11:12" x14ac:dyDescent="0.3">
      <c r="K973" s="4">
        <v>972</v>
      </c>
      <c r="L973" s="17">
        <v>-4867.3862119419564</v>
      </c>
    </row>
    <row r="974" spans="11:12" x14ac:dyDescent="0.3">
      <c r="K974" s="4">
        <v>973</v>
      </c>
      <c r="L974" s="17">
        <v>6451.6109661210585</v>
      </c>
    </row>
    <row r="975" spans="11:12" x14ac:dyDescent="0.3">
      <c r="K975" s="4">
        <v>974</v>
      </c>
      <c r="L975" s="17">
        <v>8643.658079869927</v>
      </c>
    </row>
    <row r="976" spans="11:12" x14ac:dyDescent="0.3">
      <c r="K976" s="4">
        <v>975</v>
      </c>
      <c r="L976" s="17">
        <v>10357.548001471499</v>
      </c>
    </row>
    <row r="977" spans="11:12" x14ac:dyDescent="0.3">
      <c r="K977" s="4">
        <v>976</v>
      </c>
      <c r="L977" s="17">
        <v>2027.0241070529814</v>
      </c>
    </row>
    <row r="978" spans="11:12" x14ac:dyDescent="0.3">
      <c r="K978" s="4">
        <v>977</v>
      </c>
      <c r="L978" s="17">
        <v>182.3303563912811</v>
      </c>
    </row>
    <row r="979" spans="11:12" x14ac:dyDescent="0.3">
      <c r="K979" s="4">
        <v>978</v>
      </c>
      <c r="L979" s="17">
        <v>1191.9310243441791</v>
      </c>
    </row>
    <row r="980" spans="11:12" x14ac:dyDescent="0.3">
      <c r="K980" s="4">
        <v>979</v>
      </c>
      <c r="L980" s="17">
        <v>-1867.6257276613787</v>
      </c>
    </row>
    <row r="981" spans="11:12" x14ac:dyDescent="0.3">
      <c r="K981" s="4">
        <v>980</v>
      </c>
      <c r="L981" s="17">
        <v>3756.748460369357</v>
      </c>
    </row>
    <row r="982" spans="11:12" x14ac:dyDescent="0.3">
      <c r="K982" s="4">
        <v>981</v>
      </c>
      <c r="L982" s="17">
        <v>3637.4235313315048</v>
      </c>
    </row>
    <row r="983" spans="11:12" x14ac:dyDescent="0.3">
      <c r="K983" s="4">
        <v>982</v>
      </c>
      <c r="L983" s="17">
        <v>2183.2588993467402</v>
      </c>
    </row>
    <row r="984" spans="11:12" x14ac:dyDescent="0.3">
      <c r="K984" s="4">
        <v>983</v>
      </c>
      <c r="L984" s="17">
        <v>-5639.4124162039852</v>
      </c>
    </row>
    <row r="985" spans="11:12" x14ac:dyDescent="0.3">
      <c r="K985" s="4">
        <v>984</v>
      </c>
      <c r="L985" s="17">
        <v>1232.0171812878364</v>
      </c>
    </row>
    <row r="986" spans="11:12" x14ac:dyDescent="0.3">
      <c r="K986" s="4">
        <v>985</v>
      </c>
      <c r="L986" s="17">
        <v>-1033.8453683467765</v>
      </c>
    </row>
    <row r="987" spans="11:12" x14ac:dyDescent="0.3">
      <c r="K987" s="4">
        <v>986</v>
      </c>
      <c r="L987" s="17">
        <v>6820.1416013952112</v>
      </c>
    </row>
    <row r="988" spans="11:12" x14ac:dyDescent="0.3">
      <c r="K988" s="4">
        <v>987</v>
      </c>
      <c r="L988" s="17">
        <v>4447.6296935010496</v>
      </c>
    </row>
    <row r="989" spans="11:12" x14ac:dyDescent="0.3">
      <c r="K989" s="4">
        <v>988</v>
      </c>
      <c r="L989" s="17">
        <v>-1872.5575268487057</v>
      </c>
    </row>
    <row r="990" spans="11:12" x14ac:dyDescent="0.3">
      <c r="K990" s="4">
        <v>989</v>
      </c>
      <c r="L990" s="17">
        <v>-4034.1696018508464</v>
      </c>
    </row>
    <row r="991" spans="11:12" x14ac:dyDescent="0.3">
      <c r="K991" s="4">
        <v>990</v>
      </c>
      <c r="L991" s="17">
        <v>-1684.7631685932556</v>
      </c>
    </row>
    <row r="992" spans="11:12" x14ac:dyDescent="0.3">
      <c r="K992" s="4">
        <v>991</v>
      </c>
      <c r="L992" s="17">
        <v>-2796.7356585793996</v>
      </c>
    </row>
    <row r="993" spans="11:12" x14ac:dyDescent="0.3">
      <c r="K993" s="4">
        <v>992</v>
      </c>
      <c r="L993" s="17">
        <v>-3222.1278688729958</v>
      </c>
    </row>
    <row r="994" spans="11:12" x14ac:dyDescent="0.3">
      <c r="K994" s="4">
        <v>993</v>
      </c>
      <c r="L994" s="17">
        <v>1123.5561571207538</v>
      </c>
    </row>
    <row r="995" spans="11:12" x14ac:dyDescent="0.3">
      <c r="K995" s="4">
        <v>994</v>
      </c>
      <c r="L995" s="17">
        <v>1933.8114770644379</v>
      </c>
    </row>
    <row r="996" spans="11:12" x14ac:dyDescent="0.3">
      <c r="K996" s="4">
        <v>995</v>
      </c>
      <c r="L996" s="17">
        <v>788.23573109841391</v>
      </c>
    </row>
    <row r="997" spans="11:12" x14ac:dyDescent="0.3">
      <c r="K997" s="4">
        <v>996</v>
      </c>
      <c r="L997" s="17">
        <v>-4413.2416102126281</v>
      </c>
    </row>
    <row r="998" spans="11:12" x14ac:dyDescent="0.3">
      <c r="K998" s="4">
        <v>997</v>
      </c>
      <c r="L998" s="17">
        <v>8534.8639141355525</v>
      </c>
    </row>
    <row r="999" spans="11:12" x14ac:dyDescent="0.3">
      <c r="K999" s="4">
        <v>998</v>
      </c>
      <c r="L999" s="17">
        <v>-8990.8067706390138</v>
      </c>
    </row>
    <row r="1000" spans="11:12" x14ac:dyDescent="0.3">
      <c r="K1000" s="4">
        <v>999</v>
      </c>
      <c r="L1000" s="17">
        <v>435.19954603743696</v>
      </c>
    </row>
    <row r="1001" spans="11:12" x14ac:dyDescent="0.3">
      <c r="K1001" s="4">
        <v>1000</v>
      </c>
      <c r="L1001" s="17">
        <v>1722.2495831605634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6AFD8-890A-40D0-A9E4-44B947BC14BD}">
  <sheetPr codeName="Sheet3"/>
  <dimension ref="A1:X318"/>
  <sheetViews>
    <sheetView tabSelected="1" workbookViewId="0">
      <selection activeCell="W16" sqref="W16"/>
    </sheetView>
  </sheetViews>
  <sheetFormatPr defaultRowHeight="14.4" x14ac:dyDescent="0.3"/>
  <cols>
    <col min="1" max="1" width="10.33203125" style="2" bestFit="1" customWidth="1"/>
    <col min="7" max="7" width="10.33203125" style="2" bestFit="1" customWidth="1"/>
    <col min="20" max="20" width="16.6640625" customWidth="1"/>
    <col min="21" max="21" width="14.44140625" customWidth="1"/>
    <col min="22" max="22" width="9.109375" bestFit="1" customWidth="1"/>
    <col min="23" max="23" width="13" customWidth="1"/>
    <col min="24" max="24" width="22.109375" customWidth="1"/>
  </cols>
  <sheetData>
    <row r="1" spans="1:24" x14ac:dyDescent="0.3">
      <c r="A1" s="2" t="str">
        <f>simulation!A4</f>
        <v>SPY</v>
      </c>
      <c r="G1" s="2" t="str">
        <f>simulation!A5</f>
        <v>BND</v>
      </c>
    </row>
    <row r="2" spans="1:24" x14ac:dyDescent="0.3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O2" s="8" t="s">
        <v>24</v>
      </c>
      <c r="P2" s="8" t="s">
        <v>10</v>
      </c>
      <c r="Q2" s="8" t="s">
        <v>11</v>
      </c>
      <c r="R2" s="8" t="s">
        <v>12</v>
      </c>
      <c r="S2" s="8" t="s">
        <v>13</v>
      </c>
      <c r="T2" s="8" t="s">
        <v>23</v>
      </c>
    </row>
    <row r="3" spans="1:24" x14ac:dyDescent="0.3">
      <c r="A3">
        <v>45805.666666666672</v>
      </c>
      <c r="B3">
        <v>591.55999999999995</v>
      </c>
      <c r="C3">
        <v>592.76880000000006</v>
      </c>
      <c r="D3">
        <v>586.98500000000001</v>
      </c>
      <c r="E3">
        <v>587.73</v>
      </c>
      <c r="F3">
        <v>68445512</v>
      </c>
      <c r="G3">
        <v>45805.666666666672</v>
      </c>
      <c r="H3">
        <v>72.41</v>
      </c>
      <c r="I3">
        <v>72.459999999999994</v>
      </c>
      <c r="J3">
        <v>72.290000000000006</v>
      </c>
      <c r="K3">
        <v>72.37</v>
      </c>
      <c r="L3">
        <v>5214663</v>
      </c>
      <c r="O3" s="8">
        <v>1</v>
      </c>
      <c r="P3" s="8">
        <f t="shared" ref="P3:P66" si="0">E3</f>
        <v>587.73</v>
      </c>
      <c r="Q3" s="8">
        <f t="shared" ref="Q3:Q66" si="1">K3</f>
        <v>72.37</v>
      </c>
      <c r="R3" s="8"/>
      <c r="S3" s="8"/>
      <c r="T3" s="8"/>
    </row>
    <row r="4" spans="1:24" x14ac:dyDescent="0.3">
      <c r="A4">
        <v>45804.666666666672</v>
      </c>
      <c r="B4">
        <v>586.07000000000005</v>
      </c>
      <c r="C4">
        <v>591.30999999999995</v>
      </c>
      <c r="D4">
        <v>578.42999999999995</v>
      </c>
      <c r="E4">
        <v>591.15</v>
      </c>
      <c r="F4">
        <v>72588475</v>
      </c>
      <c r="G4">
        <v>45804.666666666672</v>
      </c>
      <c r="H4">
        <v>72.37</v>
      </c>
      <c r="I4">
        <v>72.599999999999994</v>
      </c>
      <c r="J4">
        <v>72.319999999999993</v>
      </c>
      <c r="K4">
        <v>72.53</v>
      </c>
      <c r="L4">
        <v>6148892</v>
      </c>
      <c r="O4" s="8">
        <v>2</v>
      </c>
      <c r="P4" s="8">
        <f t="shared" si="0"/>
        <v>591.15</v>
      </c>
      <c r="Q4" s="8">
        <f t="shared" si="1"/>
        <v>72.53</v>
      </c>
      <c r="R4" s="21">
        <f>(P4-P3)/P3</f>
        <v>5.8189985197283772E-3</v>
      </c>
      <c r="S4" s="21">
        <f>(Q4-Q3)/Q3</f>
        <v>2.2108608539449575E-3</v>
      </c>
      <c r="T4" s="15">
        <f>simulation!$B$1*((simulation!$B$4*data!R4)+(simulation!$B$5*data!S4))</f>
        <v>437.57434534150093</v>
      </c>
      <c r="W4" s="8" t="s">
        <v>1</v>
      </c>
      <c r="X4" s="8" t="s">
        <v>3</v>
      </c>
    </row>
    <row r="5" spans="1:24" x14ac:dyDescent="0.3">
      <c r="A5">
        <v>45800.666666666672</v>
      </c>
      <c r="B5">
        <v>575.98</v>
      </c>
      <c r="C5">
        <v>581.81010000000003</v>
      </c>
      <c r="D5">
        <v>575.6</v>
      </c>
      <c r="E5">
        <v>579.11</v>
      </c>
      <c r="F5">
        <v>76029046</v>
      </c>
      <c r="G5">
        <v>45800.666666666672</v>
      </c>
      <c r="H5">
        <v>72.27</v>
      </c>
      <c r="I5">
        <v>72.290000000000006</v>
      </c>
      <c r="J5">
        <v>72.09</v>
      </c>
      <c r="K5">
        <v>72.19</v>
      </c>
      <c r="L5">
        <v>4272707</v>
      </c>
      <c r="O5" s="8">
        <v>3</v>
      </c>
      <c r="P5" s="8">
        <f t="shared" si="0"/>
        <v>579.11</v>
      </c>
      <c r="Q5" s="8">
        <f t="shared" si="1"/>
        <v>72.19</v>
      </c>
      <c r="R5" s="21">
        <f t="shared" ref="R5:R68" si="2">(P5-P4)/P4</f>
        <v>-2.0367081113084606E-2</v>
      </c>
      <c r="S5" s="21">
        <f t="shared" ref="S5:S68" si="3">(Q5-Q4)/Q4</f>
        <v>-4.6877154280987651E-3</v>
      </c>
      <c r="T5" s="15">
        <f>simulation!$B$1*((simulation!$B$4*data!R5)+(simulation!$B$5*data!S5))</f>
        <v>-1409.5334839090272</v>
      </c>
      <c r="W5" s="8">
        <v>0.9</v>
      </c>
      <c r="X5" s="15">
        <f>_xlfn.PERCENTILE.INC(T4:T254,1-W5)</f>
        <v>-717.56318381459027</v>
      </c>
    </row>
    <row r="6" spans="1:24" x14ac:dyDescent="0.3">
      <c r="A6">
        <v>45799.666666666672</v>
      </c>
      <c r="B6">
        <v>582.66</v>
      </c>
      <c r="C6">
        <v>586.62</v>
      </c>
      <c r="D6">
        <v>581.40499999999997</v>
      </c>
      <c r="E6">
        <v>583.09</v>
      </c>
      <c r="F6">
        <v>70860417</v>
      </c>
      <c r="G6">
        <v>45799.666666666672</v>
      </c>
      <c r="H6">
        <v>71.87</v>
      </c>
      <c r="I6">
        <v>72.09</v>
      </c>
      <c r="J6">
        <v>71.762500000000003</v>
      </c>
      <c r="K6">
        <v>72.08</v>
      </c>
      <c r="L6">
        <v>7067214</v>
      </c>
      <c r="O6" s="8">
        <v>4</v>
      </c>
      <c r="P6" s="8">
        <f t="shared" si="0"/>
        <v>583.09</v>
      </c>
      <c r="Q6" s="8">
        <f t="shared" si="1"/>
        <v>72.08</v>
      </c>
      <c r="R6" s="21">
        <f t="shared" si="2"/>
        <v>6.8726148745489081E-3</v>
      </c>
      <c r="S6" s="21">
        <f t="shared" si="3"/>
        <v>-1.5237567530128747E-3</v>
      </c>
      <c r="T6" s="15">
        <f>simulation!$B$1*((simulation!$B$4*data!R6)+(simulation!$B$5*data!S6))</f>
        <v>351.40662235241945</v>
      </c>
      <c r="W6" s="8">
        <v>0.95</v>
      </c>
      <c r="X6" s="15">
        <f>_xlfn.PERCENTILE.INC(T5:T255,1-W6)</f>
        <v>-1007.0649225142286</v>
      </c>
    </row>
    <row r="7" spans="1:24" x14ac:dyDescent="0.3">
      <c r="A7">
        <v>45798.666666666672</v>
      </c>
      <c r="B7">
        <v>588.44000000000005</v>
      </c>
      <c r="C7">
        <v>592.58000000000004</v>
      </c>
      <c r="D7">
        <v>581.82000000000005</v>
      </c>
      <c r="E7">
        <v>582.86</v>
      </c>
      <c r="F7">
        <v>95197657</v>
      </c>
      <c r="G7">
        <v>45798.666666666672</v>
      </c>
      <c r="H7">
        <v>72.150000000000006</v>
      </c>
      <c r="I7">
        <v>72.2</v>
      </c>
      <c r="J7">
        <v>71.8048</v>
      </c>
      <c r="K7">
        <v>71.88</v>
      </c>
      <c r="L7">
        <v>10880393</v>
      </c>
      <c r="O7" s="8">
        <v>5</v>
      </c>
      <c r="P7" s="8">
        <f t="shared" si="0"/>
        <v>582.86</v>
      </c>
      <c r="Q7" s="8">
        <f t="shared" si="1"/>
        <v>71.88</v>
      </c>
      <c r="R7" s="21">
        <f t="shared" si="2"/>
        <v>-3.9445025639269784E-4</v>
      </c>
      <c r="S7" s="21">
        <f t="shared" si="3"/>
        <v>-2.7746947835738463E-3</v>
      </c>
      <c r="T7" s="15">
        <f>simulation!$B$1*((simulation!$B$4*data!R7)+(simulation!$B$5*data!S7))</f>
        <v>-134.65480672651574</v>
      </c>
      <c r="W7" s="8">
        <v>0.99</v>
      </c>
      <c r="X7" s="15">
        <f>_xlfn.PERCENTILE.INC(T6:T256,1-W7)</f>
        <v>-1530.1632262245435</v>
      </c>
    </row>
    <row r="8" spans="1:24" x14ac:dyDescent="0.3">
      <c r="A8">
        <v>45797.666666666672</v>
      </c>
      <c r="B8">
        <v>593.09</v>
      </c>
      <c r="C8">
        <v>594.04999999999995</v>
      </c>
      <c r="D8">
        <v>589.6</v>
      </c>
      <c r="E8">
        <v>592.85</v>
      </c>
      <c r="F8">
        <v>60614492</v>
      </c>
      <c r="G8">
        <v>45797.666666666672</v>
      </c>
      <c r="H8">
        <v>72.3</v>
      </c>
      <c r="I8">
        <v>72.39</v>
      </c>
      <c r="J8">
        <v>72.2</v>
      </c>
      <c r="K8">
        <v>72.33</v>
      </c>
      <c r="L8">
        <v>5810255</v>
      </c>
      <c r="O8" s="8">
        <v>6</v>
      </c>
      <c r="P8" s="8">
        <f t="shared" si="0"/>
        <v>592.85</v>
      </c>
      <c r="Q8" s="8">
        <f t="shared" si="1"/>
        <v>72.33</v>
      </c>
      <c r="R8" s="21">
        <f t="shared" si="2"/>
        <v>1.713962186459872E-2</v>
      </c>
      <c r="S8" s="21">
        <f t="shared" si="3"/>
        <v>6.2604340567613088E-3</v>
      </c>
      <c r="T8" s="15">
        <f>simulation!$B$1*((simulation!$B$4*data!R8)+(simulation!$B$5*data!S8))</f>
        <v>1278.7946741463754</v>
      </c>
    </row>
    <row r="9" spans="1:24" x14ac:dyDescent="0.3">
      <c r="A9">
        <v>45796.666666666672</v>
      </c>
      <c r="B9">
        <v>588.1</v>
      </c>
      <c r="C9">
        <v>595.54</v>
      </c>
      <c r="D9">
        <v>588.1</v>
      </c>
      <c r="E9">
        <v>594.85</v>
      </c>
      <c r="F9">
        <v>68168509</v>
      </c>
      <c r="G9">
        <v>45796.666666666672</v>
      </c>
      <c r="H9">
        <v>72.17</v>
      </c>
      <c r="I9">
        <v>72.48</v>
      </c>
      <c r="J9">
        <v>72.063500000000005</v>
      </c>
      <c r="K9">
        <v>72.459999999999994</v>
      </c>
      <c r="L9">
        <v>5787990</v>
      </c>
      <c r="O9" s="8">
        <v>7</v>
      </c>
      <c r="P9" s="8">
        <f t="shared" si="0"/>
        <v>594.85</v>
      </c>
      <c r="Q9" s="8">
        <f t="shared" si="1"/>
        <v>72.459999999999994</v>
      </c>
      <c r="R9" s="21">
        <f t="shared" si="2"/>
        <v>3.3735346208990467E-3</v>
      </c>
      <c r="S9" s="21">
        <f t="shared" si="3"/>
        <v>1.7973178487487274E-3</v>
      </c>
      <c r="T9" s="15">
        <f>simulation!$B$1*((simulation!$B$4*data!R9)+(simulation!$B$5*data!S9))</f>
        <v>274.30479120389185</v>
      </c>
    </row>
    <row r="10" spans="1:24" x14ac:dyDescent="0.3">
      <c r="A10">
        <v>45793.666666666672</v>
      </c>
      <c r="B10">
        <v>591.25</v>
      </c>
      <c r="C10">
        <v>594.5</v>
      </c>
      <c r="D10">
        <v>589.28</v>
      </c>
      <c r="E10">
        <v>594.20000000000005</v>
      </c>
      <c r="F10">
        <v>76052101</v>
      </c>
      <c r="G10">
        <v>45793.666666666672</v>
      </c>
      <c r="H10">
        <v>72.62</v>
      </c>
      <c r="I10">
        <v>72.674999999999997</v>
      </c>
      <c r="J10">
        <v>72.45</v>
      </c>
      <c r="K10">
        <v>72.48</v>
      </c>
      <c r="L10">
        <v>5310023</v>
      </c>
      <c r="O10" s="8">
        <v>8</v>
      </c>
      <c r="P10" s="8">
        <f t="shared" si="0"/>
        <v>594.20000000000005</v>
      </c>
      <c r="Q10" s="8">
        <f t="shared" si="1"/>
        <v>72.48</v>
      </c>
      <c r="R10" s="21">
        <f t="shared" si="2"/>
        <v>-1.0927124485163944E-3</v>
      </c>
      <c r="S10" s="21">
        <f t="shared" si="3"/>
        <v>2.7601435274648403E-4</v>
      </c>
      <c r="T10" s="15">
        <f>simulation!$B$1*((simulation!$B$4*data!R10)+(simulation!$B$5*data!S10))</f>
        <v>-54.522172801124292</v>
      </c>
    </row>
    <row r="11" spans="1:24" x14ac:dyDescent="0.3">
      <c r="A11">
        <v>45792.666666666672</v>
      </c>
      <c r="B11">
        <v>585.55999999999995</v>
      </c>
      <c r="C11">
        <v>590.97</v>
      </c>
      <c r="D11">
        <v>585.09690000000001</v>
      </c>
      <c r="E11">
        <v>590.46</v>
      </c>
      <c r="F11">
        <v>71268145</v>
      </c>
      <c r="G11">
        <v>45792.666666666672</v>
      </c>
      <c r="H11">
        <v>72.25</v>
      </c>
      <c r="I11">
        <v>72.45</v>
      </c>
      <c r="J11">
        <v>72.17</v>
      </c>
      <c r="K11">
        <v>72.430000000000007</v>
      </c>
      <c r="L11">
        <v>5659031</v>
      </c>
      <c r="O11" s="8">
        <v>9</v>
      </c>
      <c r="P11" s="8">
        <f t="shared" si="0"/>
        <v>590.46</v>
      </c>
      <c r="Q11" s="8">
        <f t="shared" si="1"/>
        <v>72.430000000000007</v>
      </c>
      <c r="R11" s="21">
        <f t="shared" si="2"/>
        <v>-6.2941770447660864E-3</v>
      </c>
      <c r="S11" s="21">
        <f t="shared" si="3"/>
        <v>-6.8984547461364723E-4</v>
      </c>
      <c r="T11" s="15">
        <f>simulation!$B$1*((simulation!$B$4*data!R11)+(simulation!$B$5*data!S11))</f>
        <v>-405.24444167051104</v>
      </c>
    </row>
    <row r="12" spans="1:24" x14ac:dyDescent="0.3">
      <c r="A12">
        <v>45791.666666666672</v>
      </c>
      <c r="B12">
        <v>587.80999999999995</v>
      </c>
      <c r="C12">
        <v>588.98</v>
      </c>
      <c r="D12">
        <v>585.53499999999997</v>
      </c>
      <c r="E12">
        <v>587.59</v>
      </c>
      <c r="F12">
        <v>66283531</v>
      </c>
      <c r="G12">
        <v>45791.666666666672</v>
      </c>
      <c r="H12">
        <v>72.239999999999995</v>
      </c>
      <c r="I12">
        <v>72.289900000000003</v>
      </c>
      <c r="J12">
        <v>72.010000000000005</v>
      </c>
      <c r="K12">
        <v>72.040000000000006</v>
      </c>
      <c r="L12">
        <v>6426742</v>
      </c>
      <c r="O12" s="8">
        <v>10</v>
      </c>
      <c r="P12" s="8">
        <f t="shared" si="0"/>
        <v>587.59</v>
      </c>
      <c r="Q12" s="8">
        <f t="shared" si="1"/>
        <v>72.040000000000006</v>
      </c>
      <c r="R12" s="21">
        <f t="shared" si="2"/>
        <v>-4.8606171459540095E-3</v>
      </c>
      <c r="S12" s="21">
        <f t="shared" si="3"/>
        <v>-5.3845091812784835E-3</v>
      </c>
      <c r="T12" s="15">
        <f>simulation!$B$1*((simulation!$B$4*data!R12)+(simulation!$B$5*data!S12))</f>
        <v>-507.01739600837999</v>
      </c>
    </row>
    <row r="13" spans="1:24" x14ac:dyDescent="0.3">
      <c r="A13">
        <v>45790.666666666672</v>
      </c>
      <c r="B13">
        <v>583.41</v>
      </c>
      <c r="C13">
        <v>589.08000000000004</v>
      </c>
      <c r="D13">
        <v>582.84</v>
      </c>
      <c r="E13">
        <v>586.84</v>
      </c>
      <c r="F13">
        <v>67947225</v>
      </c>
      <c r="G13">
        <v>45790.666666666672</v>
      </c>
      <c r="H13">
        <v>72.3</v>
      </c>
      <c r="I13">
        <v>72.424999999999997</v>
      </c>
      <c r="J13">
        <v>72.2</v>
      </c>
      <c r="K13">
        <v>72.290000000000006</v>
      </c>
      <c r="L13">
        <v>5610253</v>
      </c>
      <c r="O13" s="8">
        <v>11</v>
      </c>
      <c r="P13" s="8">
        <f t="shared" si="0"/>
        <v>586.84</v>
      </c>
      <c r="Q13" s="8">
        <f t="shared" si="1"/>
        <v>72.290000000000006</v>
      </c>
      <c r="R13" s="21">
        <f t="shared" si="2"/>
        <v>-1.2764002110315015E-3</v>
      </c>
      <c r="S13" s="21">
        <f t="shared" si="3"/>
        <v>3.4702942809550245E-3</v>
      </c>
      <c r="T13" s="15">
        <f>simulation!$B$1*((simulation!$B$4*data!R13)+(simulation!$B$5*data!S13))</f>
        <v>62.227758576310897</v>
      </c>
    </row>
    <row r="14" spans="1:24" x14ac:dyDescent="0.3">
      <c r="A14">
        <v>45789.666666666672</v>
      </c>
      <c r="B14">
        <v>581.47</v>
      </c>
      <c r="C14">
        <v>583</v>
      </c>
      <c r="D14">
        <v>577.04</v>
      </c>
      <c r="E14">
        <v>582.99</v>
      </c>
      <c r="F14">
        <v>78993570</v>
      </c>
      <c r="G14">
        <v>45789.666666666672</v>
      </c>
      <c r="H14">
        <v>72.3</v>
      </c>
      <c r="I14">
        <v>72.45</v>
      </c>
      <c r="J14">
        <v>72.3</v>
      </c>
      <c r="K14">
        <v>72.319999999999993</v>
      </c>
      <c r="L14">
        <v>6983151</v>
      </c>
      <c r="O14" s="8">
        <v>12</v>
      </c>
      <c r="P14" s="8">
        <f t="shared" si="0"/>
        <v>582.99</v>
      </c>
      <c r="Q14" s="8">
        <f t="shared" si="1"/>
        <v>72.319999999999993</v>
      </c>
      <c r="R14" s="21">
        <f t="shared" si="2"/>
        <v>-6.5605616522391493E-3</v>
      </c>
      <c r="S14" s="21">
        <f t="shared" si="3"/>
        <v>4.1499515838963792E-4</v>
      </c>
      <c r="T14" s="15">
        <f>simulation!$B$1*((simulation!$B$4*data!R14)+(simulation!$B$5*data!S14))</f>
        <v>-377.03389279876347</v>
      </c>
    </row>
    <row r="15" spans="1:24" x14ac:dyDescent="0.3">
      <c r="A15">
        <v>45786.666666666672</v>
      </c>
      <c r="B15">
        <v>566.48</v>
      </c>
      <c r="C15">
        <v>567.5</v>
      </c>
      <c r="D15">
        <v>562.76369999999997</v>
      </c>
      <c r="E15">
        <v>564.34</v>
      </c>
      <c r="F15">
        <v>37603427</v>
      </c>
      <c r="G15">
        <v>45786.666666666672</v>
      </c>
      <c r="H15">
        <v>72.605000000000004</v>
      </c>
      <c r="I15">
        <v>72.739999999999995</v>
      </c>
      <c r="J15">
        <v>72.56</v>
      </c>
      <c r="K15">
        <v>72.569999999999993</v>
      </c>
      <c r="L15">
        <v>3730810</v>
      </c>
      <c r="O15" s="8">
        <v>13</v>
      </c>
      <c r="P15" s="8">
        <f t="shared" si="0"/>
        <v>564.34</v>
      </c>
      <c r="Q15" s="8">
        <f t="shared" si="1"/>
        <v>72.569999999999993</v>
      </c>
      <c r="R15" s="21">
        <f t="shared" si="2"/>
        <v>-3.1990257122763648E-2</v>
      </c>
      <c r="S15" s="21">
        <f t="shared" si="3"/>
        <v>3.4568584070796462E-3</v>
      </c>
      <c r="T15" s="15">
        <f>simulation!$B$1*((simulation!$B$4*data!R15)+(simulation!$B$5*data!S15))</f>
        <v>-1781.141091082633</v>
      </c>
    </row>
    <row r="16" spans="1:24" x14ac:dyDescent="0.3">
      <c r="A16">
        <v>45785.666666666672</v>
      </c>
      <c r="B16">
        <v>565.24</v>
      </c>
      <c r="C16">
        <v>570.30999999999995</v>
      </c>
      <c r="D16">
        <v>561.70000000000005</v>
      </c>
      <c r="E16">
        <v>565.05999999999995</v>
      </c>
      <c r="F16">
        <v>65130787</v>
      </c>
      <c r="G16">
        <v>45785.666666666672</v>
      </c>
      <c r="H16">
        <v>72.86</v>
      </c>
      <c r="I16">
        <v>72.92</v>
      </c>
      <c r="J16">
        <v>72.504999999999995</v>
      </c>
      <c r="K16">
        <v>72.510000000000005</v>
      </c>
      <c r="L16">
        <v>4283210</v>
      </c>
      <c r="O16" s="8">
        <v>14</v>
      </c>
      <c r="P16" s="8">
        <f t="shared" si="0"/>
        <v>565.05999999999995</v>
      </c>
      <c r="Q16" s="8">
        <f t="shared" si="1"/>
        <v>72.510000000000005</v>
      </c>
      <c r="R16" s="21">
        <f t="shared" si="2"/>
        <v>1.2758266293367714E-3</v>
      </c>
      <c r="S16" s="21">
        <f t="shared" si="3"/>
        <v>-8.2678792889607372E-4</v>
      </c>
      <c r="T16" s="15">
        <f>simulation!$B$1*((simulation!$B$4*data!R16)+(simulation!$B$5*data!S16))</f>
        <v>43.478080604363335</v>
      </c>
    </row>
    <row r="17" spans="1:20" x14ac:dyDescent="0.3">
      <c r="A17">
        <v>45784.666666666672</v>
      </c>
      <c r="B17">
        <v>560.15</v>
      </c>
      <c r="C17">
        <v>563.82000000000005</v>
      </c>
      <c r="D17">
        <v>556.04</v>
      </c>
      <c r="E17">
        <v>561.15</v>
      </c>
      <c r="F17">
        <v>55733229</v>
      </c>
      <c r="G17">
        <v>45784.666666666672</v>
      </c>
      <c r="H17">
        <v>72.8</v>
      </c>
      <c r="I17">
        <v>72.967100000000002</v>
      </c>
      <c r="J17">
        <v>72.790000000000006</v>
      </c>
      <c r="K17">
        <v>72.900000000000006</v>
      </c>
      <c r="L17">
        <v>4358160</v>
      </c>
      <c r="O17" s="8">
        <v>15</v>
      </c>
      <c r="P17" s="8">
        <f t="shared" si="0"/>
        <v>561.15</v>
      </c>
      <c r="Q17" s="8">
        <f t="shared" si="1"/>
        <v>72.900000000000006</v>
      </c>
      <c r="R17" s="21">
        <f t="shared" si="2"/>
        <v>-6.9196191554878571E-3</v>
      </c>
      <c r="S17" s="21">
        <f t="shared" si="3"/>
        <v>5.3785684733140332E-3</v>
      </c>
      <c r="T17" s="15">
        <f>simulation!$B$1*((simulation!$B$4*data!R17)+(simulation!$B$5*data!S17))</f>
        <v>-200.03441039671009</v>
      </c>
    </row>
    <row r="18" spans="1:20" x14ac:dyDescent="0.3">
      <c r="A18">
        <v>45783.666666666672</v>
      </c>
      <c r="B18">
        <v>557.92999999999995</v>
      </c>
      <c r="C18">
        <v>563.34760000000006</v>
      </c>
      <c r="D18">
        <v>556.96</v>
      </c>
      <c r="E18">
        <v>558.79999999999995</v>
      </c>
      <c r="F18">
        <v>48264708</v>
      </c>
      <c r="G18">
        <v>45783.666666666672</v>
      </c>
      <c r="H18">
        <v>72.56</v>
      </c>
      <c r="I18">
        <v>72.77</v>
      </c>
      <c r="J18">
        <v>72.5</v>
      </c>
      <c r="K18">
        <v>72.760000000000005</v>
      </c>
      <c r="L18">
        <v>6994010</v>
      </c>
      <c r="O18" s="8">
        <v>16</v>
      </c>
      <c r="P18" s="8">
        <f t="shared" si="0"/>
        <v>558.79999999999995</v>
      </c>
      <c r="Q18" s="8">
        <f t="shared" si="1"/>
        <v>72.760000000000005</v>
      </c>
      <c r="R18" s="21">
        <f t="shared" si="2"/>
        <v>-4.187828566337027E-3</v>
      </c>
      <c r="S18" s="21">
        <f t="shared" si="3"/>
        <v>-1.9204389574760021E-3</v>
      </c>
      <c r="T18" s="15">
        <f>simulation!$B$1*((simulation!$B$4*data!R18)+(simulation!$B$5*data!S18))</f>
        <v>-328.0872722792617</v>
      </c>
    </row>
    <row r="19" spans="1:20" x14ac:dyDescent="0.3">
      <c r="A19">
        <v>45782.666666666672</v>
      </c>
      <c r="B19">
        <v>562.57000000000005</v>
      </c>
      <c r="C19">
        <v>566.65</v>
      </c>
      <c r="D19">
        <v>561.70000000000005</v>
      </c>
      <c r="E19">
        <v>563.51</v>
      </c>
      <c r="F19">
        <v>38659222</v>
      </c>
      <c r="G19">
        <v>45782.666666666672</v>
      </c>
      <c r="H19">
        <v>72.63</v>
      </c>
      <c r="I19">
        <v>72.69</v>
      </c>
      <c r="J19">
        <v>72.482500000000002</v>
      </c>
      <c r="K19">
        <v>72.599999999999994</v>
      </c>
      <c r="L19">
        <v>7574983</v>
      </c>
      <c r="O19" s="8">
        <v>17</v>
      </c>
      <c r="P19" s="8">
        <f t="shared" si="0"/>
        <v>563.51</v>
      </c>
      <c r="Q19" s="8">
        <f t="shared" si="1"/>
        <v>72.599999999999994</v>
      </c>
      <c r="R19" s="21">
        <f t="shared" si="2"/>
        <v>8.4287759484610539E-3</v>
      </c>
      <c r="S19" s="21">
        <f t="shared" si="3"/>
        <v>-2.1990104452997636E-3</v>
      </c>
      <c r="T19" s="15">
        <f>simulation!$B$1*((simulation!$B$4*data!R19)+(simulation!$B$5*data!S19))</f>
        <v>417.7661390956726</v>
      </c>
    </row>
    <row r="20" spans="1:20" x14ac:dyDescent="0.3">
      <c r="A20">
        <v>45779.666666666672</v>
      </c>
      <c r="B20">
        <v>564.73</v>
      </c>
      <c r="C20">
        <v>568.38</v>
      </c>
      <c r="D20">
        <v>562.38</v>
      </c>
      <c r="E20">
        <v>566.76</v>
      </c>
      <c r="F20">
        <v>60717270</v>
      </c>
      <c r="G20">
        <v>45779.666666666672</v>
      </c>
      <c r="H20">
        <v>72.709999999999994</v>
      </c>
      <c r="I20">
        <v>72.849999999999994</v>
      </c>
      <c r="J20">
        <v>72.605000000000004</v>
      </c>
      <c r="K20">
        <v>72.7</v>
      </c>
      <c r="L20">
        <v>6960790</v>
      </c>
      <c r="O20" s="8">
        <v>18</v>
      </c>
      <c r="P20" s="8">
        <f t="shared" si="0"/>
        <v>566.76</v>
      </c>
      <c r="Q20" s="8">
        <f t="shared" si="1"/>
        <v>72.7</v>
      </c>
      <c r="R20" s="21">
        <f t="shared" si="2"/>
        <v>5.767422051072741E-3</v>
      </c>
      <c r="S20" s="21">
        <f t="shared" si="3"/>
        <v>1.3774104683196768E-3</v>
      </c>
      <c r="T20" s="15">
        <f>simulation!$B$1*((simulation!$B$4*data!R20)+(simulation!$B$5*data!S20))</f>
        <v>401.1417417971515</v>
      </c>
    </row>
    <row r="21" spans="1:20" x14ac:dyDescent="0.3">
      <c r="A21">
        <v>45778.666666666672</v>
      </c>
      <c r="B21">
        <v>560.37</v>
      </c>
      <c r="C21">
        <v>564.06989999999996</v>
      </c>
      <c r="D21">
        <v>557.86</v>
      </c>
      <c r="E21">
        <v>558.47</v>
      </c>
      <c r="F21">
        <v>63186146</v>
      </c>
      <c r="G21">
        <v>45778.666666666672</v>
      </c>
      <c r="H21">
        <v>73.34</v>
      </c>
      <c r="I21">
        <v>73.37</v>
      </c>
      <c r="J21">
        <v>72.95</v>
      </c>
      <c r="K21">
        <v>73.06</v>
      </c>
      <c r="L21">
        <v>6295350</v>
      </c>
      <c r="O21" s="8">
        <v>19</v>
      </c>
      <c r="P21" s="8">
        <f t="shared" si="0"/>
        <v>558.47</v>
      </c>
      <c r="Q21" s="8">
        <f t="shared" si="1"/>
        <v>73.06</v>
      </c>
      <c r="R21" s="21">
        <f t="shared" si="2"/>
        <v>-1.462700261133454E-2</v>
      </c>
      <c r="S21" s="21">
        <f t="shared" si="3"/>
        <v>4.9518569463548748E-3</v>
      </c>
      <c r="T21" s="15">
        <f>simulation!$B$1*((simulation!$B$4*data!R21)+(simulation!$B$5*data!S21))</f>
        <v>-679.54587882587737</v>
      </c>
    </row>
    <row r="22" spans="1:20" x14ac:dyDescent="0.3">
      <c r="A22">
        <v>45777.666666666672</v>
      </c>
      <c r="B22">
        <v>547.57000000000005</v>
      </c>
      <c r="C22">
        <v>556.52</v>
      </c>
      <c r="D22">
        <v>541.52</v>
      </c>
      <c r="E22">
        <v>554.54</v>
      </c>
      <c r="F22">
        <v>93101463</v>
      </c>
      <c r="G22">
        <v>45777.666666666672</v>
      </c>
      <c r="H22">
        <v>73.5</v>
      </c>
      <c r="I22">
        <v>73.575000000000003</v>
      </c>
      <c r="J22">
        <v>73.370099999999994</v>
      </c>
      <c r="K22">
        <v>73.5</v>
      </c>
      <c r="L22">
        <v>8020986</v>
      </c>
      <c r="O22" s="8">
        <v>20</v>
      </c>
      <c r="P22" s="8">
        <f t="shared" si="0"/>
        <v>554.54</v>
      </c>
      <c r="Q22" s="8">
        <f t="shared" si="1"/>
        <v>73.5</v>
      </c>
      <c r="R22" s="21">
        <f t="shared" si="2"/>
        <v>-7.0370834601680725E-3</v>
      </c>
      <c r="S22" s="21">
        <f t="shared" si="3"/>
        <v>6.0224473035860619E-3</v>
      </c>
      <c r="T22" s="15">
        <f>simulation!$B$1*((simulation!$B$4*data!R22)+(simulation!$B$5*data!S22))</f>
        <v>-181.3271154666418</v>
      </c>
    </row>
    <row r="23" spans="1:20" x14ac:dyDescent="0.3">
      <c r="A23">
        <v>45776.666666666672</v>
      </c>
      <c r="B23">
        <v>548.91</v>
      </c>
      <c r="C23">
        <v>555.45000000000005</v>
      </c>
      <c r="D23">
        <v>548.54999999999995</v>
      </c>
      <c r="E23">
        <v>554.32000000000005</v>
      </c>
      <c r="F23">
        <v>47775121</v>
      </c>
      <c r="G23">
        <v>45776.666666666672</v>
      </c>
      <c r="H23">
        <v>73.290000000000006</v>
      </c>
      <c r="I23">
        <v>73.56</v>
      </c>
      <c r="J23">
        <v>73.28</v>
      </c>
      <c r="K23">
        <v>73.55</v>
      </c>
      <c r="L23">
        <v>3790701</v>
      </c>
      <c r="O23" s="8">
        <v>21</v>
      </c>
      <c r="P23" s="8">
        <f t="shared" si="0"/>
        <v>554.32000000000005</v>
      </c>
      <c r="Q23" s="8">
        <f t="shared" si="1"/>
        <v>73.55</v>
      </c>
      <c r="R23" s="21">
        <f t="shared" si="2"/>
        <v>-3.9672521369047071E-4</v>
      </c>
      <c r="S23" s="21">
        <f t="shared" si="3"/>
        <v>6.8027210884349877E-4</v>
      </c>
      <c r="T23" s="15">
        <f>simulation!$B$1*((simulation!$B$4*data!R23)+(simulation!$B$5*data!S23))</f>
        <v>3.4073715323117089</v>
      </c>
    </row>
    <row r="24" spans="1:20" x14ac:dyDescent="0.3">
      <c r="A24">
        <v>45775.666666666672</v>
      </c>
      <c r="B24">
        <v>551.39</v>
      </c>
      <c r="C24">
        <v>553.54999999999995</v>
      </c>
      <c r="D24">
        <v>545.02</v>
      </c>
      <c r="E24">
        <v>550.85</v>
      </c>
      <c r="F24">
        <v>47613755</v>
      </c>
      <c r="G24">
        <v>45775.666666666672</v>
      </c>
      <c r="H24">
        <v>73.099999999999994</v>
      </c>
      <c r="I24">
        <v>73.388499999999993</v>
      </c>
      <c r="J24">
        <v>73.09</v>
      </c>
      <c r="K24">
        <v>73.36</v>
      </c>
      <c r="L24">
        <v>4685563</v>
      </c>
      <c r="O24" s="8">
        <v>22</v>
      </c>
      <c r="P24" s="8">
        <f t="shared" si="0"/>
        <v>550.85</v>
      </c>
      <c r="Q24" s="8">
        <f t="shared" si="1"/>
        <v>73.36</v>
      </c>
      <c r="R24" s="21">
        <f t="shared" si="2"/>
        <v>-6.2599220666763366E-3</v>
      </c>
      <c r="S24" s="21">
        <f t="shared" si="3"/>
        <v>-2.5832766825288609E-3</v>
      </c>
      <c r="T24" s="15">
        <f>simulation!$B$1*((simulation!$B$4*data!R24)+(simulation!$B$5*data!S24))</f>
        <v>-478.92639130173461</v>
      </c>
    </row>
    <row r="25" spans="1:20" x14ac:dyDescent="0.3">
      <c r="A25">
        <v>45772.666666666672</v>
      </c>
      <c r="B25">
        <v>546.65</v>
      </c>
      <c r="C25">
        <v>551.04999999999995</v>
      </c>
      <c r="D25">
        <v>543.69000000000005</v>
      </c>
      <c r="E25">
        <v>550.64</v>
      </c>
      <c r="F25">
        <v>61119590</v>
      </c>
      <c r="G25">
        <v>45772.666666666672</v>
      </c>
      <c r="H25">
        <v>73.09</v>
      </c>
      <c r="I25">
        <v>73.194999999999993</v>
      </c>
      <c r="J25">
        <v>73.010000000000005</v>
      </c>
      <c r="K25">
        <v>73.180000000000007</v>
      </c>
      <c r="L25">
        <v>4021898</v>
      </c>
      <c r="O25" s="8">
        <v>23</v>
      </c>
      <c r="P25" s="8">
        <f t="shared" si="0"/>
        <v>550.64</v>
      </c>
      <c r="Q25" s="8">
        <f t="shared" si="1"/>
        <v>73.180000000000007</v>
      </c>
      <c r="R25" s="21">
        <f t="shared" si="2"/>
        <v>-3.8122900971232889E-4</v>
      </c>
      <c r="S25" s="21">
        <f t="shared" si="3"/>
        <v>-2.4536532170118951E-3</v>
      </c>
      <c r="T25" s="15">
        <f>simulation!$B$1*((simulation!$B$4*data!R25)+(simulation!$B$5*data!S25))</f>
        <v>-121.01986926321553</v>
      </c>
    </row>
    <row r="26" spans="1:20" x14ac:dyDescent="0.3">
      <c r="A26">
        <v>45771.666666666672</v>
      </c>
      <c r="B26">
        <v>536.71500000000003</v>
      </c>
      <c r="C26">
        <v>547.42999999999995</v>
      </c>
      <c r="D26">
        <v>535.45039999999995</v>
      </c>
      <c r="E26">
        <v>546.69000000000005</v>
      </c>
      <c r="F26">
        <v>64150418</v>
      </c>
      <c r="G26">
        <v>45771.666666666672</v>
      </c>
      <c r="H26">
        <v>72.8</v>
      </c>
      <c r="I26">
        <v>72.95</v>
      </c>
      <c r="J26">
        <v>72.753699999999995</v>
      </c>
      <c r="K26">
        <v>72.94</v>
      </c>
      <c r="L26">
        <v>3751673</v>
      </c>
      <c r="O26" s="8">
        <v>24</v>
      </c>
      <c r="P26" s="8">
        <f t="shared" si="0"/>
        <v>546.69000000000005</v>
      </c>
      <c r="Q26" s="8">
        <f t="shared" si="1"/>
        <v>72.94</v>
      </c>
      <c r="R26" s="21">
        <f t="shared" si="2"/>
        <v>-7.1734708702599374E-3</v>
      </c>
      <c r="S26" s="21">
        <f t="shared" si="3"/>
        <v>-3.2795845859525702E-3</v>
      </c>
      <c r="T26" s="15">
        <f>simulation!$B$1*((simulation!$B$4*data!R26)+(simulation!$B$5*data!S26))</f>
        <v>-561.59163565369909</v>
      </c>
    </row>
    <row r="27" spans="1:20" x14ac:dyDescent="0.3">
      <c r="A27">
        <v>45770.666666666672</v>
      </c>
      <c r="B27">
        <v>540.42999999999995</v>
      </c>
      <c r="C27">
        <v>545.42999999999995</v>
      </c>
      <c r="D27">
        <v>533.88</v>
      </c>
      <c r="E27">
        <v>535.41999999999996</v>
      </c>
      <c r="F27">
        <v>90590658</v>
      </c>
      <c r="G27">
        <v>45770.666666666672</v>
      </c>
      <c r="H27">
        <v>72.819999999999993</v>
      </c>
      <c r="I27">
        <v>73.125</v>
      </c>
      <c r="J27">
        <v>72.5</v>
      </c>
      <c r="K27">
        <v>72.53</v>
      </c>
      <c r="L27">
        <v>5283133</v>
      </c>
      <c r="O27" s="8">
        <v>25</v>
      </c>
      <c r="P27" s="8">
        <f t="shared" si="0"/>
        <v>535.41999999999996</v>
      </c>
      <c r="Q27" s="8">
        <f t="shared" si="1"/>
        <v>72.53</v>
      </c>
      <c r="R27" s="21">
        <f t="shared" si="2"/>
        <v>-2.0614973751120553E-2</v>
      </c>
      <c r="S27" s="21">
        <f t="shared" si="3"/>
        <v>-5.6210584041677626E-3</v>
      </c>
      <c r="T27" s="15">
        <f>simulation!$B$1*((simulation!$B$4*data!R27)+(simulation!$B$5*data!S27))</f>
        <v>-1461.7407612339437</v>
      </c>
    </row>
    <row r="28" spans="1:20" x14ac:dyDescent="0.3">
      <c r="A28">
        <v>45769.666666666672</v>
      </c>
      <c r="B28">
        <v>520.14</v>
      </c>
      <c r="C28">
        <v>529.30499999999995</v>
      </c>
      <c r="D28">
        <v>519.1925</v>
      </c>
      <c r="E28">
        <v>527.25</v>
      </c>
      <c r="F28">
        <v>75948117</v>
      </c>
      <c r="G28">
        <v>45769.666666666672</v>
      </c>
      <c r="H28">
        <v>72.489999999999995</v>
      </c>
      <c r="I28">
        <v>72.529899999999998</v>
      </c>
      <c r="J28">
        <v>72.37</v>
      </c>
      <c r="K28">
        <v>72.38</v>
      </c>
      <c r="L28">
        <v>5408208</v>
      </c>
      <c r="O28" s="8">
        <v>26</v>
      </c>
      <c r="P28" s="8">
        <f t="shared" si="0"/>
        <v>527.25</v>
      </c>
      <c r="Q28" s="8">
        <f t="shared" si="1"/>
        <v>72.38</v>
      </c>
      <c r="R28" s="21">
        <f t="shared" si="2"/>
        <v>-1.5259048970901273E-2</v>
      </c>
      <c r="S28" s="21">
        <f t="shared" si="3"/>
        <v>-2.0681097476906891E-3</v>
      </c>
      <c r="T28" s="15">
        <f>simulation!$B$1*((simulation!$B$4*data!R28)+(simulation!$B$5*data!S28))</f>
        <v>-998.26732816170397</v>
      </c>
    </row>
    <row r="29" spans="1:20" x14ac:dyDescent="0.3">
      <c r="A29">
        <v>45768.666666666672</v>
      </c>
      <c r="B29">
        <v>521.16</v>
      </c>
      <c r="C29">
        <v>521.70000000000005</v>
      </c>
      <c r="D29">
        <v>508.46</v>
      </c>
      <c r="E29">
        <v>513.88</v>
      </c>
      <c r="F29">
        <v>69368129</v>
      </c>
      <c r="G29">
        <v>45768.666666666672</v>
      </c>
      <c r="H29">
        <v>72.489999999999995</v>
      </c>
      <c r="I29">
        <v>72.635000000000005</v>
      </c>
      <c r="J29">
        <v>72.245000000000005</v>
      </c>
      <c r="K29">
        <v>72.25</v>
      </c>
      <c r="L29">
        <v>6092946</v>
      </c>
      <c r="O29" s="8">
        <v>27</v>
      </c>
      <c r="P29" s="8">
        <f t="shared" si="0"/>
        <v>513.88</v>
      </c>
      <c r="Q29" s="8">
        <f t="shared" si="1"/>
        <v>72.25</v>
      </c>
      <c r="R29" s="21">
        <f t="shared" si="2"/>
        <v>-2.5357989568515892E-2</v>
      </c>
      <c r="S29" s="21">
        <f t="shared" si="3"/>
        <v>-1.7960762641613078E-3</v>
      </c>
      <c r="T29" s="15">
        <f>simulation!$B$1*((simulation!$B$4*data!R29)+(simulation!$B$5*data!S29))</f>
        <v>-1593.3224246774055</v>
      </c>
    </row>
    <row r="30" spans="1:20" x14ac:dyDescent="0.3">
      <c r="A30">
        <v>45764.666666666672</v>
      </c>
      <c r="B30">
        <v>527.64</v>
      </c>
      <c r="C30">
        <v>531.16499999999996</v>
      </c>
      <c r="D30">
        <v>523.91</v>
      </c>
      <c r="E30">
        <v>526.41</v>
      </c>
      <c r="F30">
        <v>79868083</v>
      </c>
      <c r="G30">
        <v>45764.666666666672</v>
      </c>
      <c r="H30">
        <v>72.790000000000006</v>
      </c>
      <c r="I30">
        <v>72.829899999999995</v>
      </c>
      <c r="J30">
        <v>72.600300000000004</v>
      </c>
      <c r="K30">
        <v>72.650000000000006</v>
      </c>
      <c r="L30">
        <v>7613944</v>
      </c>
      <c r="O30" s="8">
        <v>28</v>
      </c>
      <c r="P30" s="8">
        <f t="shared" si="0"/>
        <v>526.41</v>
      </c>
      <c r="Q30" s="8">
        <f t="shared" si="1"/>
        <v>72.650000000000006</v>
      </c>
      <c r="R30" s="21">
        <f t="shared" si="2"/>
        <v>2.4383124464855556E-2</v>
      </c>
      <c r="S30" s="21">
        <f t="shared" si="3"/>
        <v>5.5363321799308746E-3</v>
      </c>
      <c r="T30" s="15">
        <f>simulation!$B$1*((simulation!$B$4*data!R30)+(simulation!$B$5*data!S30))</f>
        <v>1684.4407550885683</v>
      </c>
    </row>
    <row r="31" spans="1:20" x14ac:dyDescent="0.3">
      <c r="A31">
        <v>45763.666666666672</v>
      </c>
      <c r="B31">
        <v>531.67999999999995</v>
      </c>
      <c r="C31">
        <v>537.8854</v>
      </c>
      <c r="D31">
        <v>520.29</v>
      </c>
      <c r="E31">
        <v>525.66</v>
      </c>
      <c r="F31">
        <v>83484814</v>
      </c>
      <c r="G31">
        <v>45763.666666666672</v>
      </c>
      <c r="H31">
        <v>72.66</v>
      </c>
      <c r="I31">
        <v>72.849999999999994</v>
      </c>
      <c r="J31">
        <v>72.514600000000002</v>
      </c>
      <c r="K31">
        <v>72.81</v>
      </c>
      <c r="L31">
        <v>33963335</v>
      </c>
      <c r="O31" s="8">
        <v>29</v>
      </c>
      <c r="P31" s="8">
        <f t="shared" si="0"/>
        <v>525.66</v>
      </c>
      <c r="Q31" s="8">
        <f t="shared" si="1"/>
        <v>72.81</v>
      </c>
      <c r="R31" s="21">
        <f t="shared" si="2"/>
        <v>-1.4247449706502537E-3</v>
      </c>
      <c r="S31" s="21">
        <f t="shared" si="3"/>
        <v>2.202339986235328E-3</v>
      </c>
      <c r="T31" s="15">
        <f>simulation!$B$1*((simulation!$B$4*data!R31)+(simulation!$B$5*data!S31))</f>
        <v>2.6089012103979035</v>
      </c>
    </row>
    <row r="32" spans="1:20" x14ac:dyDescent="0.3">
      <c r="A32">
        <v>45762.666666666672</v>
      </c>
      <c r="B32">
        <v>539.67499999999995</v>
      </c>
      <c r="C32">
        <v>543.23</v>
      </c>
      <c r="D32">
        <v>536.80999999999995</v>
      </c>
      <c r="E32">
        <v>537.61</v>
      </c>
      <c r="F32">
        <v>56892874</v>
      </c>
      <c r="G32">
        <v>45762.666666666672</v>
      </c>
      <c r="H32">
        <v>72.36</v>
      </c>
      <c r="I32">
        <v>72.734999999999999</v>
      </c>
      <c r="J32">
        <v>72.349999999999994</v>
      </c>
      <c r="K32">
        <v>72.61</v>
      </c>
      <c r="L32">
        <v>5667509</v>
      </c>
      <c r="O32" s="8">
        <v>30</v>
      </c>
      <c r="P32" s="8">
        <f t="shared" si="0"/>
        <v>537.61</v>
      </c>
      <c r="Q32" s="8">
        <f t="shared" si="1"/>
        <v>72.61</v>
      </c>
      <c r="R32" s="21">
        <f t="shared" si="2"/>
        <v>2.2733325723852008E-2</v>
      </c>
      <c r="S32" s="21">
        <f t="shared" si="3"/>
        <v>-2.7468754291993247E-3</v>
      </c>
      <c r="T32" s="15">
        <f>simulation!$B$1*((simulation!$B$4*data!R32)+(simulation!$B$5*data!S32))</f>
        <v>1254.1245262631476</v>
      </c>
    </row>
    <row r="33" spans="1:20" x14ac:dyDescent="0.3">
      <c r="A33">
        <v>45761.666666666672</v>
      </c>
      <c r="B33">
        <v>544.04999999999995</v>
      </c>
      <c r="C33">
        <v>544.28</v>
      </c>
      <c r="D33">
        <v>533.86</v>
      </c>
      <c r="E33">
        <v>539.12</v>
      </c>
      <c r="F33">
        <v>68033993</v>
      </c>
      <c r="G33">
        <v>45761.666666666672</v>
      </c>
      <c r="H33">
        <v>72.224999999999994</v>
      </c>
      <c r="I33">
        <v>72.525000000000006</v>
      </c>
      <c r="J33">
        <v>72.204700000000003</v>
      </c>
      <c r="K33">
        <v>72.430000000000007</v>
      </c>
      <c r="L33">
        <v>5409343</v>
      </c>
      <c r="O33" s="8">
        <v>31</v>
      </c>
      <c r="P33" s="8">
        <f t="shared" si="0"/>
        <v>539.12</v>
      </c>
      <c r="Q33" s="8">
        <f t="shared" si="1"/>
        <v>72.430000000000007</v>
      </c>
      <c r="R33" s="21">
        <f t="shared" si="2"/>
        <v>2.80872751622922E-3</v>
      </c>
      <c r="S33" s="21">
        <f t="shared" si="3"/>
        <v>-2.4789973832804379E-3</v>
      </c>
      <c r="T33" s="15">
        <f>simulation!$B$1*((simulation!$B$4*data!R33)+(simulation!$B$5*data!S33))</f>
        <v>69.363755642535679</v>
      </c>
    </row>
    <row r="34" spans="1:20" x14ac:dyDescent="0.3">
      <c r="A34">
        <v>45758.666666666672</v>
      </c>
      <c r="B34">
        <v>523.01</v>
      </c>
      <c r="C34">
        <v>536.42999999999995</v>
      </c>
      <c r="D34">
        <v>520.07000000000005</v>
      </c>
      <c r="E34">
        <v>533.94000000000005</v>
      </c>
      <c r="F34">
        <v>97866334</v>
      </c>
      <c r="G34">
        <v>45758.666666666672</v>
      </c>
      <c r="H34">
        <v>71.69</v>
      </c>
      <c r="I34">
        <v>72.150000000000006</v>
      </c>
      <c r="J34">
        <v>71.41</v>
      </c>
      <c r="K34">
        <v>72.02</v>
      </c>
      <c r="L34">
        <v>7260413</v>
      </c>
      <c r="O34" s="8">
        <v>32</v>
      </c>
      <c r="P34" s="8">
        <f t="shared" si="0"/>
        <v>533.94000000000005</v>
      </c>
      <c r="Q34" s="8">
        <f t="shared" si="1"/>
        <v>72.02</v>
      </c>
      <c r="R34" s="21">
        <f t="shared" si="2"/>
        <v>-9.6082504822673064E-3</v>
      </c>
      <c r="S34" s="21">
        <f t="shared" si="3"/>
        <v>-5.6606378572416228E-3</v>
      </c>
      <c r="T34" s="15">
        <f>simulation!$B$1*((simulation!$B$4*data!R34)+(simulation!$B$5*data!S34))</f>
        <v>-802.92054322570334</v>
      </c>
    </row>
    <row r="35" spans="1:20" x14ac:dyDescent="0.3">
      <c r="A35">
        <v>45757.666666666672</v>
      </c>
      <c r="B35">
        <v>532.16999999999996</v>
      </c>
      <c r="C35">
        <v>533.495</v>
      </c>
      <c r="D35">
        <v>509.32</v>
      </c>
      <c r="E35">
        <v>524.58000000000004</v>
      </c>
      <c r="F35">
        <v>162331225</v>
      </c>
      <c r="G35">
        <v>45757.666666666672</v>
      </c>
      <c r="H35">
        <v>72.42</v>
      </c>
      <c r="I35">
        <v>72.609899999999996</v>
      </c>
      <c r="J35">
        <v>72.06</v>
      </c>
      <c r="K35">
        <v>72.099999999999994</v>
      </c>
      <c r="L35">
        <v>8058517</v>
      </c>
      <c r="O35" s="8">
        <v>33</v>
      </c>
      <c r="P35" s="8">
        <f t="shared" si="0"/>
        <v>524.58000000000004</v>
      </c>
      <c r="Q35" s="8">
        <f t="shared" si="1"/>
        <v>72.099999999999994</v>
      </c>
      <c r="R35" s="21">
        <f t="shared" si="2"/>
        <v>-1.7530059557253647E-2</v>
      </c>
      <c r="S35" s="21">
        <f t="shared" si="3"/>
        <v>1.1108025548458526E-3</v>
      </c>
      <c r="T35" s="15">
        <f>simulation!$B$1*((simulation!$B$4*data!R35)+(simulation!$B$5*data!S35))</f>
        <v>-1007.3714712413846</v>
      </c>
    </row>
    <row r="36" spans="1:20" x14ac:dyDescent="0.3">
      <c r="A36">
        <v>45756.666666666672</v>
      </c>
      <c r="B36">
        <v>493.44</v>
      </c>
      <c r="C36">
        <v>548.62</v>
      </c>
      <c r="D36">
        <v>493.05</v>
      </c>
      <c r="E36">
        <v>548.62</v>
      </c>
      <c r="F36">
        <v>241867317</v>
      </c>
      <c r="G36">
        <v>45756.666666666672</v>
      </c>
      <c r="H36">
        <v>71.489999999999995</v>
      </c>
      <c r="I36">
        <v>72.7</v>
      </c>
      <c r="J36">
        <v>71.480400000000003</v>
      </c>
      <c r="K36">
        <v>72.680000000000007</v>
      </c>
      <c r="L36">
        <v>20862040</v>
      </c>
      <c r="O36" s="8">
        <v>34</v>
      </c>
      <c r="P36" s="8">
        <f t="shared" si="0"/>
        <v>548.62</v>
      </c>
      <c r="Q36" s="8">
        <f t="shared" si="1"/>
        <v>72.680000000000007</v>
      </c>
      <c r="R36" s="21">
        <f t="shared" si="2"/>
        <v>4.5827137900796754E-2</v>
      </c>
      <c r="S36" s="21">
        <f t="shared" si="3"/>
        <v>8.0443828016645291E-3</v>
      </c>
      <c r="T36" s="15">
        <f>simulation!$B$1*((simulation!$B$4*data!R36)+(simulation!$B$5*data!S36))</f>
        <v>3071.4035861143861</v>
      </c>
    </row>
    <row r="37" spans="1:20" x14ac:dyDescent="0.3">
      <c r="A37">
        <v>45755.666666666672</v>
      </c>
      <c r="B37">
        <v>521.86</v>
      </c>
      <c r="C37">
        <v>524.98</v>
      </c>
      <c r="D37">
        <v>489.16</v>
      </c>
      <c r="E37">
        <v>496.48</v>
      </c>
      <c r="F37">
        <v>165816581</v>
      </c>
      <c r="G37">
        <v>45755.666666666672</v>
      </c>
      <c r="H37">
        <v>72.92</v>
      </c>
      <c r="I37">
        <v>73.05</v>
      </c>
      <c r="J37">
        <v>72.460099999999997</v>
      </c>
      <c r="K37">
        <v>72.510000000000005</v>
      </c>
      <c r="L37">
        <v>12629156</v>
      </c>
      <c r="O37" s="8">
        <v>35</v>
      </c>
      <c r="P37" s="8">
        <f t="shared" si="0"/>
        <v>496.48</v>
      </c>
      <c r="Q37" s="8">
        <f t="shared" si="1"/>
        <v>72.510000000000005</v>
      </c>
      <c r="R37" s="21">
        <f t="shared" si="2"/>
        <v>-9.5038460136342068E-2</v>
      </c>
      <c r="S37" s="21">
        <f t="shared" si="3"/>
        <v>-2.3390203632361268E-3</v>
      </c>
      <c r="T37" s="15">
        <f>simulation!$B$1*((simulation!$B$4*data!R37)+(simulation!$B$5*data!S37))</f>
        <v>-5795.8684227099684</v>
      </c>
    </row>
    <row r="38" spans="1:20" x14ac:dyDescent="0.3">
      <c r="A38">
        <v>45754.666666666672</v>
      </c>
      <c r="B38">
        <v>489.19</v>
      </c>
      <c r="C38">
        <v>523.16999999999996</v>
      </c>
      <c r="D38">
        <v>481.8</v>
      </c>
      <c r="E38">
        <v>504.38</v>
      </c>
      <c r="F38">
        <v>256611355</v>
      </c>
      <c r="G38">
        <v>45754.666666666672</v>
      </c>
      <c r="H38">
        <v>73.650000000000006</v>
      </c>
      <c r="I38">
        <v>73.69</v>
      </c>
      <c r="J38">
        <v>72.849999999999994</v>
      </c>
      <c r="K38">
        <v>72.930000000000007</v>
      </c>
      <c r="L38">
        <v>14282990</v>
      </c>
      <c r="O38" s="8">
        <v>36</v>
      </c>
      <c r="P38" s="8">
        <f t="shared" si="0"/>
        <v>504.38</v>
      </c>
      <c r="Q38" s="8">
        <f t="shared" si="1"/>
        <v>72.930000000000007</v>
      </c>
      <c r="R38" s="21">
        <f t="shared" si="2"/>
        <v>1.5912020625201372E-2</v>
      </c>
      <c r="S38" s="21">
        <f t="shared" si="3"/>
        <v>5.7923045097228202E-3</v>
      </c>
      <c r="T38" s="15">
        <f>simulation!$B$1*((simulation!$B$4*data!R38)+(simulation!$B$5*data!S38))</f>
        <v>1186.413417900995</v>
      </c>
    </row>
    <row r="39" spans="1:20" x14ac:dyDescent="0.3">
      <c r="A39">
        <v>45751.666666666672</v>
      </c>
      <c r="B39">
        <v>523.66999999999996</v>
      </c>
      <c r="C39">
        <v>525.87</v>
      </c>
      <c r="D39">
        <v>505.06</v>
      </c>
      <c r="E39">
        <v>505.28</v>
      </c>
      <c r="F39">
        <v>217965131</v>
      </c>
      <c r="G39">
        <v>45751.666666666672</v>
      </c>
      <c r="H39">
        <v>74.2</v>
      </c>
      <c r="I39">
        <v>74.34</v>
      </c>
      <c r="J39">
        <v>73.709999999999994</v>
      </c>
      <c r="K39">
        <v>73.819999999999993</v>
      </c>
      <c r="L39">
        <v>12677993</v>
      </c>
      <c r="O39" s="8">
        <v>37</v>
      </c>
      <c r="P39" s="8">
        <f t="shared" si="0"/>
        <v>505.28</v>
      </c>
      <c r="Q39" s="8">
        <f t="shared" si="1"/>
        <v>73.819999999999993</v>
      </c>
      <c r="R39" s="21">
        <f t="shared" si="2"/>
        <v>1.7843689281890186E-3</v>
      </c>
      <c r="S39" s="21">
        <f t="shared" si="3"/>
        <v>1.2203482791717898E-2</v>
      </c>
      <c r="T39" s="15">
        <f>simulation!$B$1*((simulation!$B$4*data!R39)+(simulation!$B$5*data!S39))</f>
        <v>595.20144736005705</v>
      </c>
    </row>
    <row r="40" spans="1:20" x14ac:dyDescent="0.3">
      <c r="A40">
        <v>45750.666666666672</v>
      </c>
      <c r="B40">
        <v>545.11</v>
      </c>
      <c r="C40">
        <v>547.97</v>
      </c>
      <c r="D40">
        <v>536.70000000000005</v>
      </c>
      <c r="E40">
        <v>536.70000000000005</v>
      </c>
      <c r="F40">
        <v>125985998</v>
      </c>
      <c r="G40">
        <v>45750.666666666672</v>
      </c>
      <c r="H40">
        <v>73.760000000000005</v>
      </c>
      <c r="I40">
        <v>73.995000000000005</v>
      </c>
      <c r="J40">
        <v>73.62</v>
      </c>
      <c r="K40">
        <v>73.760000000000005</v>
      </c>
      <c r="L40">
        <v>7426162</v>
      </c>
      <c r="O40" s="8">
        <v>38</v>
      </c>
      <c r="P40" s="8">
        <f t="shared" si="0"/>
        <v>536.70000000000005</v>
      </c>
      <c r="Q40" s="8">
        <f t="shared" si="1"/>
        <v>73.760000000000005</v>
      </c>
      <c r="R40" s="21">
        <f t="shared" si="2"/>
        <v>6.2183343888537197E-2</v>
      </c>
      <c r="S40" s="21">
        <f t="shared" si="3"/>
        <v>-8.1278786236776035E-4</v>
      </c>
      <c r="T40" s="15">
        <f>simulation!$B$1*((simulation!$B$4*data!R40)+(simulation!$B$5*data!S40))</f>
        <v>3698.4891188175211</v>
      </c>
    </row>
    <row r="41" spans="1:20" x14ac:dyDescent="0.3">
      <c r="A41">
        <v>45749.666666666672</v>
      </c>
      <c r="B41">
        <v>555.04999999999995</v>
      </c>
      <c r="C41">
        <v>567.41999999999996</v>
      </c>
      <c r="D41">
        <v>554.80999999999995</v>
      </c>
      <c r="E41">
        <v>564.52</v>
      </c>
      <c r="F41">
        <v>76014544</v>
      </c>
      <c r="G41">
        <v>45749.666666666672</v>
      </c>
      <c r="H41">
        <v>73.61</v>
      </c>
      <c r="I41">
        <v>73.619600000000005</v>
      </c>
      <c r="J41">
        <v>73.180000000000007</v>
      </c>
      <c r="K41">
        <v>73.38</v>
      </c>
      <c r="L41">
        <v>5313061</v>
      </c>
      <c r="O41" s="8">
        <v>39</v>
      </c>
      <c r="P41" s="8">
        <f t="shared" si="0"/>
        <v>564.52</v>
      </c>
      <c r="Q41" s="8">
        <f t="shared" si="1"/>
        <v>73.38</v>
      </c>
      <c r="R41" s="21">
        <f t="shared" si="2"/>
        <v>5.1835289733556798E-2</v>
      </c>
      <c r="S41" s="21">
        <f t="shared" si="3"/>
        <v>-5.1518438177875492E-3</v>
      </c>
      <c r="T41" s="15">
        <f>simulation!$B$1*((simulation!$B$4*data!R41)+(simulation!$B$5*data!S41))</f>
        <v>2904.0436313019059</v>
      </c>
    </row>
    <row r="42" spans="1:20" x14ac:dyDescent="0.3">
      <c r="A42">
        <v>45748.666666666672</v>
      </c>
      <c r="B42">
        <v>557.45000000000005</v>
      </c>
      <c r="C42">
        <v>562.94000000000005</v>
      </c>
      <c r="D42">
        <v>553.67999999999995</v>
      </c>
      <c r="E42">
        <v>560.97</v>
      </c>
      <c r="F42">
        <v>54609641</v>
      </c>
      <c r="G42">
        <v>45748.666666666672</v>
      </c>
      <c r="H42">
        <v>73.22</v>
      </c>
      <c r="I42">
        <v>73.576800000000006</v>
      </c>
      <c r="J42">
        <v>73.209999999999994</v>
      </c>
      <c r="K42">
        <v>73.44</v>
      </c>
      <c r="L42">
        <v>4667878</v>
      </c>
      <c r="O42" s="8">
        <v>40</v>
      </c>
      <c r="P42" s="8">
        <f t="shared" si="0"/>
        <v>560.97</v>
      </c>
      <c r="Q42" s="8">
        <f t="shared" si="1"/>
        <v>73.44</v>
      </c>
      <c r="R42" s="21">
        <f t="shared" si="2"/>
        <v>-6.2885283072343845E-3</v>
      </c>
      <c r="S42" s="21">
        <f t="shared" si="3"/>
        <v>8.1766148814393946E-4</v>
      </c>
      <c r="T42" s="15">
        <f>simulation!$B$1*((simulation!$B$4*data!R42)+(simulation!$B$5*data!S42))</f>
        <v>-344.60523890830547</v>
      </c>
    </row>
    <row r="43" spans="1:20" x14ac:dyDescent="0.3">
      <c r="A43">
        <v>45747.666666666672</v>
      </c>
      <c r="B43">
        <v>549.83000000000004</v>
      </c>
      <c r="C43">
        <v>560.71119999999996</v>
      </c>
      <c r="D43">
        <v>546.87</v>
      </c>
      <c r="E43">
        <v>559.39</v>
      </c>
      <c r="F43">
        <v>95328213</v>
      </c>
      <c r="G43">
        <v>45747.666666666672</v>
      </c>
      <c r="H43">
        <v>73.5</v>
      </c>
      <c r="I43">
        <v>73.56</v>
      </c>
      <c r="J43">
        <v>73.27</v>
      </c>
      <c r="K43">
        <v>73.45</v>
      </c>
      <c r="L43">
        <v>7106111</v>
      </c>
      <c r="O43" s="8">
        <v>41</v>
      </c>
      <c r="P43" s="8">
        <f t="shared" si="0"/>
        <v>559.39</v>
      </c>
      <c r="Q43" s="8">
        <f t="shared" si="1"/>
        <v>73.45</v>
      </c>
      <c r="R43" s="21">
        <f t="shared" si="2"/>
        <v>-2.8165499046295538E-3</v>
      </c>
      <c r="S43" s="21">
        <f t="shared" si="3"/>
        <v>1.361655773421176E-4</v>
      </c>
      <c r="T43" s="15">
        <f>simulation!$B$1*((simulation!$B$4*data!R43)+(simulation!$B$5*data!S43))</f>
        <v>-163.54637118408851</v>
      </c>
    </row>
    <row r="44" spans="1:20" x14ac:dyDescent="0.3">
      <c r="A44">
        <v>45744.666666666672</v>
      </c>
      <c r="B44">
        <v>565.53</v>
      </c>
      <c r="C44">
        <v>566.26750000000004</v>
      </c>
      <c r="D44">
        <v>555.07000000000005</v>
      </c>
      <c r="E44">
        <v>555.66</v>
      </c>
      <c r="F44">
        <v>71662653</v>
      </c>
      <c r="G44">
        <v>45744.666666666672</v>
      </c>
      <c r="H44">
        <v>73.16</v>
      </c>
      <c r="I44">
        <v>73.349999999999994</v>
      </c>
      <c r="J44">
        <v>73.069999999999993</v>
      </c>
      <c r="K44">
        <v>73.319999999999993</v>
      </c>
      <c r="L44">
        <v>4850495</v>
      </c>
      <c r="O44" s="8">
        <v>42</v>
      </c>
      <c r="P44" s="8">
        <f t="shared" si="0"/>
        <v>555.66</v>
      </c>
      <c r="Q44" s="8">
        <f t="shared" si="1"/>
        <v>73.319999999999993</v>
      </c>
      <c r="R44" s="21">
        <f t="shared" si="2"/>
        <v>-6.6679776184773026E-3</v>
      </c>
      <c r="S44" s="21">
        <f t="shared" si="3"/>
        <v>-1.7699115044249104E-3</v>
      </c>
      <c r="T44" s="15">
        <f>simulation!$B$1*((simulation!$B$4*data!R44)+(simulation!$B$5*data!S44))</f>
        <v>-470.87511728563453</v>
      </c>
    </row>
    <row r="45" spans="1:20" x14ac:dyDescent="0.3">
      <c r="A45">
        <v>45743.666666666672</v>
      </c>
      <c r="B45">
        <v>567.17999999999995</v>
      </c>
      <c r="C45">
        <v>570.9</v>
      </c>
      <c r="D45">
        <v>564.94000000000005</v>
      </c>
      <c r="E45">
        <v>567.08000000000004</v>
      </c>
      <c r="F45">
        <v>42164248</v>
      </c>
      <c r="G45">
        <v>45743.666666666672</v>
      </c>
      <c r="H45">
        <v>72.88</v>
      </c>
      <c r="I45">
        <v>72.92</v>
      </c>
      <c r="J45">
        <v>72.819999999999993</v>
      </c>
      <c r="K45">
        <v>72.900000000000006</v>
      </c>
      <c r="L45">
        <v>5568322</v>
      </c>
      <c r="O45" s="8">
        <v>43</v>
      </c>
      <c r="P45" s="8">
        <f t="shared" si="0"/>
        <v>567.08000000000004</v>
      </c>
      <c r="Q45" s="8">
        <f t="shared" si="1"/>
        <v>72.900000000000006</v>
      </c>
      <c r="R45" s="21">
        <f t="shared" si="2"/>
        <v>2.0552136198394834E-2</v>
      </c>
      <c r="S45" s="21">
        <f t="shared" si="3"/>
        <v>-5.7283142389523665E-3</v>
      </c>
      <c r="T45" s="15">
        <f>simulation!$B$1*((simulation!$B$4*data!R45)+(simulation!$B$5*data!S45))</f>
        <v>1003.9956023455953</v>
      </c>
    </row>
    <row r="46" spans="1:20" x14ac:dyDescent="0.3">
      <c r="A46">
        <v>45742.666666666672</v>
      </c>
      <c r="B46">
        <v>575.19000000000005</v>
      </c>
      <c r="C46">
        <v>576.33000000000004</v>
      </c>
      <c r="D46">
        <v>567.19000000000005</v>
      </c>
      <c r="E46">
        <v>568.59</v>
      </c>
      <c r="F46">
        <v>52228898</v>
      </c>
      <c r="G46">
        <v>45742.666666666672</v>
      </c>
      <c r="H46">
        <v>73.02</v>
      </c>
      <c r="I46">
        <v>73.059100000000001</v>
      </c>
      <c r="J46">
        <v>72.89</v>
      </c>
      <c r="K46">
        <v>72.930000000000007</v>
      </c>
      <c r="L46">
        <v>4881976</v>
      </c>
      <c r="O46" s="8">
        <v>44</v>
      </c>
      <c r="P46" s="8">
        <f t="shared" si="0"/>
        <v>568.59</v>
      </c>
      <c r="Q46" s="8">
        <f t="shared" si="1"/>
        <v>72.930000000000007</v>
      </c>
      <c r="R46" s="21">
        <f t="shared" si="2"/>
        <v>2.662763631233672E-3</v>
      </c>
      <c r="S46" s="21">
        <f t="shared" si="3"/>
        <v>4.1152263374487152E-4</v>
      </c>
      <c r="T46" s="15">
        <f>simulation!$B$1*((simulation!$B$4*data!R46)+(simulation!$B$5*data!S46))</f>
        <v>176.22672322381516</v>
      </c>
    </row>
    <row r="47" spans="1:20" x14ac:dyDescent="0.3">
      <c r="A47">
        <v>45741.666666666672</v>
      </c>
      <c r="B47">
        <v>575.29999999999995</v>
      </c>
      <c r="C47">
        <v>576.41</v>
      </c>
      <c r="D47">
        <v>573.69000000000005</v>
      </c>
      <c r="E47">
        <v>575.46</v>
      </c>
      <c r="F47">
        <v>38355735</v>
      </c>
      <c r="G47">
        <v>45741.666666666672</v>
      </c>
      <c r="H47">
        <v>73</v>
      </c>
      <c r="I47">
        <v>73.169899999999998</v>
      </c>
      <c r="J47">
        <v>72.989999999999995</v>
      </c>
      <c r="K47">
        <v>73.09</v>
      </c>
      <c r="L47">
        <v>6133739</v>
      </c>
      <c r="O47" s="8">
        <v>45</v>
      </c>
      <c r="P47" s="8">
        <f t="shared" si="0"/>
        <v>575.46</v>
      </c>
      <c r="Q47" s="8">
        <f t="shared" si="1"/>
        <v>73.09</v>
      </c>
      <c r="R47" s="21">
        <f t="shared" si="2"/>
        <v>1.2082519917691138E-2</v>
      </c>
      <c r="S47" s="21">
        <f t="shared" si="3"/>
        <v>2.1938845468256764E-3</v>
      </c>
      <c r="T47" s="15">
        <f>simulation!$B$1*((simulation!$B$4*data!R47)+(simulation!$B$5*data!S47))</f>
        <v>812.70657693449539</v>
      </c>
    </row>
    <row r="48" spans="1:20" x14ac:dyDescent="0.3">
      <c r="A48">
        <v>45740.666666666672</v>
      </c>
      <c r="B48">
        <v>570.79999999999995</v>
      </c>
      <c r="C48">
        <v>575.15</v>
      </c>
      <c r="D48">
        <v>570.20000000000005</v>
      </c>
      <c r="E48">
        <v>574.08000000000004</v>
      </c>
      <c r="F48">
        <v>58766795</v>
      </c>
      <c r="G48">
        <v>45740.666666666672</v>
      </c>
      <c r="H48">
        <v>73.19</v>
      </c>
      <c r="I48">
        <v>73.22</v>
      </c>
      <c r="J48">
        <v>72.98</v>
      </c>
      <c r="K48">
        <v>73</v>
      </c>
      <c r="L48">
        <v>5637341</v>
      </c>
      <c r="O48" s="8">
        <v>46</v>
      </c>
      <c r="P48" s="8">
        <f t="shared" si="0"/>
        <v>574.08000000000004</v>
      </c>
      <c r="Q48" s="8">
        <f t="shared" si="1"/>
        <v>73</v>
      </c>
      <c r="R48" s="21">
        <f t="shared" si="2"/>
        <v>-2.3980815347721743E-3</v>
      </c>
      <c r="S48" s="21">
        <f t="shared" si="3"/>
        <v>-1.2313585989875962E-3</v>
      </c>
      <c r="T48" s="15">
        <f>simulation!$B$1*((simulation!$B$4*data!R48)+(simulation!$B$5*data!S48))</f>
        <v>-193.13923604583431</v>
      </c>
    </row>
    <row r="49" spans="1:20" x14ac:dyDescent="0.3">
      <c r="A49">
        <v>45737.666666666672</v>
      </c>
      <c r="B49">
        <v>559.28</v>
      </c>
      <c r="C49">
        <v>564.89</v>
      </c>
      <c r="D49">
        <v>558.03</v>
      </c>
      <c r="E49">
        <v>563.98</v>
      </c>
      <c r="F49">
        <v>83762964</v>
      </c>
      <c r="G49">
        <v>45737.666666666672</v>
      </c>
      <c r="H49">
        <v>73.444999999999993</v>
      </c>
      <c r="I49">
        <v>73.515000000000001</v>
      </c>
      <c r="J49">
        <v>73.3</v>
      </c>
      <c r="K49">
        <v>73.319999999999993</v>
      </c>
      <c r="L49">
        <v>7078526</v>
      </c>
      <c r="O49" s="8">
        <v>47</v>
      </c>
      <c r="P49" s="8">
        <f t="shared" si="0"/>
        <v>563.98</v>
      </c>
      <c r="Q49" s="8">
        <f t="shared" si="1"/>
        <v>73.319999999999993</v>
      </c>
      <c r="R49" s="21">
        <f t="shared" si="2"/>
        <v>-1.7593366778149426E-2</v>
      </c>
      <c r="S49" s="21">
        <f t="shared" si="3"/>
        <v>4.3835616438355233E-3</v>
      </c>
      <c r="T49" s="15">
        <f>simulation!$B$1*((simulation!$B$4*data!R49)+(simulation!$B$5*data!S49))</f>
        <v>-880.25954093554458</v>
      </c>
    </row>
    <row r="50" spans="1:20" x14ac:dyDescent="0.3">
      <c r="A50">
        <v>45736.666666666672</v>
      </c>
      <c r="B50">
        <v>563.33000000000004</v>
      </c>
      <c r="C50">
        <v>570.57000000000005</v>
      </c>
      <c r="D50">
        <v>562.60119999999995</v>
      </c>
      <c r="E50">
        <v>565.49</v>
      </c>
      <c r="F50">
        <v>62958195</v>
      </c>
      <c r="G50">
        <v>45736.666666666672</v>
      </c>
      <c r="H50">
        <v>73.650000000000006</v>
      </c>
      <c r="I50">
        <v>73.665000000000006</v>
      </c>
      <c r="J50">
        <v>73.353999999999999</v>
      </c>
      <c r="K50">
        <v>73.38</v>
      </c>
      <c r="L50">
        <v>3760920</v>
      </c>
      <c r="O50" s="8">
        <v>48</v>
      </c>
      <c r="P50" s="8">
        <f t="shared" si="0"/>
        <v>565.49</v>
      </c>
      <c r="Q50" s="8">
        <f t="shared" si="1"/>
        <v>73.38</v>
      </c>
      <c r="R50" s="21">
        <f t="shared" si="2"/>
        <v>2.6773999077981327E-3</v>
      </c>
      <c r="S50" s="21">
        <f t="shared" si="3"/>
        <v>8.1833060556467916E-4</v>
      </c>
      <c r="T50" s="15">
        <f>simulation!$B$1*((simulation!$B$4*data!R50)+(simulation!$B$5*data!S50))</f>
        <v>193.3772186904751</v>
      </c>
    </row>
    <row r="51" spans="1:20" x14ac:dyDescent="0.3">
      <c r="A51">
        <v>45735.666666666672</v>
      </c>
      <c r="B51">
        <v>562.83000000000004</v>
      </c>
      <c r="C51">
        <v>570.95000000000005</v>
      </c>
      <c r="D51">
        <v>561.63</v>
      </c>
      <c r="E51">
        <v>567.13</v>
      </c>
      <c r="F51">
        <v>66555985</v>
      </c>
      <c r="G51">
        <v>45735.666666666672</v>
      </c>
      <c r="H51">
        <v>73.069999999999993</v>
      </c>
      <c r="I51">
        <v>73.38</v>
      </c>
      <c r="J51">
        <v>73</v>
      </c>
      <c r="K51">
        <v>73.349999999999994</v>
      </c>
      <c r="L51">
        <v>4201613</v>
      </c>
      <c r="O51" s="8">
        <v>49</v>
      </c>
      <c r="P51" s="8">
        <f t="shared" si="0"/>
        <v>567.13</v>
      </c>
      <c r="Q51" s="8">
        <f t="shared" si="1"/>
        <v>73.349999999999994</v>
      </c>
      <c r="R51" s="21">
        <f t="shared" si="2"/>
        <v>2.9001397018514675E-3</v>
      </c>
      <c r="S51" s="21">
        <f t="shared" si="3"/>
        <v>-4.0883074407196973E-4</v>
      </c>
      <c r="T51" s="15">
        <f>simulation!$B$1*((simulation!$B$4*data!R51)+(simulation!$B$5*data!S51))</f>
        <v>157.65515234820927</v>
      </c>
    </row>
    <row r="52" spans="1:20" x14ac:dyDescent="0.3">
      <c r="A52">
        <v>45734.666666666672</v>
      </c>
      <c r="B52">
        <v>564.79999999999995</v>
      </c>
      <c r="C52">
        <v>565.02</v>
      </c>
      <c r="D52">
        <v>559.05999999999995</v>
      </c>
      <c r="E52">
        <v>561.02</v>
      </c>
      <c r="F52">
        <v>66041422</v>
      </c>
      <c r="G52">
        <v>45734.666666666672</v>
      </c>
      <c r="H52">
        <v>72.98</v>
      </c>
      <c r="I52">
        <v>73.22</v>
      </c>
      <c r="J52">
        <v>72.97</v>
      </c>
      <c r="K52">
        <v>73.13</v>
      </c>
      <c r="L52">
        <v>4196326</v>
      </c>
      <c r="O52" s="8">
        <v>50</v>
      </c>
      <c r="P52" s="8">
        <f t="shared" si="0"/>
        <v>561.02</v>
      </c>
      <c r="Q52" s="8">
        <f t="shared" si="1"/>
        <v>73.13</v>
      </c>
      <c r="R52" s="21">
        <f t="shared" si="2"/>
        <v>-1.0773543984624361E-2</v>
      </c>
      <c r="S52" s="21">
        <f t="shared" si="3"/>
        <v>-2.9993183367416345E-3</v>
      </c>
      <c r="T52" s="15">
        <f>simulation!$B$1*((simulation!$B$4*data!R52)+(simulation!$B$5*data!S52))</f>
        <v>-766.38537254712696</v>
      </c>
    </row>
    <row r="53" spans="1:20" x14ac:dyDescent="0.3">
      <c r="A53">
        <v>45733.666666666672</v>
      </c>
      <c r="B53">
        <v>562.79</v>
      </c>
      <c r="C53">
        <v>569.71</v>
      </c>
      <c r="D53">
        <v>562.35</v>
      </c>
      <c r="E53">
        <v>567.15</v>
      </c>
      <c r="F53">
        <v>49008709</v>
      </c>
      <c r="G53">
        <v>45733.666666666672</v>
      </c>
      <c r="H53">
        <v>73.13</v>
      </c>
      <c r="I53">
        <v>73.239999999999995</v>
      </c>
      <c r="J53">
        <v>73.012</v>
      </c>
      <c r="K53">
        <v>73.05</v>
      </c>
      <c r="L53">
        <v>4773287</v>
      </c>
      <c r="O53" s="8">
        <v>51</v>
      </c>
      <c r="P53" s="8">
        <f t="shared" si="0"/>
        <v>567.15</v>
      </c>
      <c r="Q53" s="8">
        <f t="shared" si="1"/>
        <v>73.05</v>
      </c>
      <c r="R53" s="21">
        <f t="shared" si="2"/>
        <v>1.0926526683540686E-2</v>
      </c>
      <c r="S53" s="21">
        <f t="shared" si="3"/>
        <v>-1.0939422945439395E-3</v>
      </c>
      <c r="T53" s="15">
        <f>simulation!$B$1*((simulation!$B$4*data!R53)+(simulation!$B$5*data!S53))</f>
        <v>611.83390923068362</v>
      </c>
    </row>
    <row r="54" spans="1:20" x14ac:dyDescent="0.3">
      <c r="A54">
        <v>45730.666666666672</v>
      </c>
      <c r="B54">
        <v>556.11</v>
      </c>
      <c r="C54">
        <v>563.83000000000004</v>
      </c>
      <c r="D54">
        <v>551.49170000000004</v>
      </c>
      <c r="E54">
        <v>562.80999999999995</v>
      </c>
      <c r="F54">
        <v>62660321</v>
      </c>
      <c r="G54">
        <v>45730.666666666672</v>
      </c>
      <c r="H54">
        <v>73.02</v>
      </c>
      <c r="I54">
        <v>73.069999999999993</v>
      </c>
      <c r="J54">
        <v>72.944999999999993</v>
      </c>
      <c r="K54">
        <v>72.95</v>
      </c>
      <c r="L54">
        <v>5095057</v>
      </c>
      <c r="O54" s="8">
        <v>52</v>
      </c>
      <c r="P54" s="8">
        <f t="shared" si="0"/>
        <v>562.80999999999995</v>
      </c>
      <c r="Q54" s="8">
        <f t="shared" si="1"/>
        <v>72.95</v>
      </c>
      <c r="R54" s="21">
        <f t="shared" si="2"/>
        <v>-7.6522965705722156E-3</v>
      </c>
      <c r="S54" s="21">
        <f t="shared" si="3"/>
        <v>-1.3689253935659728E-3</v>
      </c>
      <c r="T54" s="15">
        <f>simulation!$B$1*((simulation!$B$4*data!R54)+(simulation!$B$5*data!S54))</f>
        <v>-513.89480997697183</v>
      </c>
    </row>
    <row r="55" spans="1:20" x14ac:dyDescent="0.3">
      <c r="A55">
        <v>45729.666666666672</v>
      </c>
      <c r="B55">
        <v>558.49</v>
      </c>
      <c r="C55">
        <v>559.10500000000002</v>
      </c>
      <c r="D55">
        <v>549.67999999999995</v>
      </c>
      <c r="E55">
        <v>551.41999999999996</v>
      </c>
      <c r="F55">
        <v>74079414</v>
      </c>
      <c r="G55">
        <v>45729.666666666672</v>
      </c>
      <c r="H55">
        <v>72.915000000000006</v>
      </c>
      <c r="I55">
        <v>73.150000000000006</v>
      </c>
      <c r="J55">
        <v>72.765000000000001</v>
      </c>
      <c r="K55">
        <v>73.13</v>
      </c>
      <c r="L55">
        <v>4711554</v>
      </c>
      <c r="O55" s="8">
        <v>53</v>
      </c>
      <c r="P55" s="8">
        <f t="shared" si="0"/>
        <v>551.41999999999996</v>
      </c>
      <c r="Q55" s="8">
        <f t="shared" si="1"/>
        <v>73.13</v>
      </c>
      <c r="R55" s="21">
        <f t="shared" si="2"/>
        <v>-2.0237735647909573E-2</v>
      </c>
      <c r="S55" s="21">
        <f t="shared" si="3"/>
        <v>2.4674434544207347E-3</v>
      </c>
      <c r="T55" s="15">
        <f>simulation!$B$1*((simulation!$B$4*data!R55)+(simulation!$B$5*data!S55))</f>
        <v>-1115.5664006977449</v>
      </c>
    </row>
    <row r="56" spans="1:20" x14ac:dyDescent="0.3">
      <c r="A56">
        <v>45728.666666666672</v>
      </c>
      <c r="B56">
        <v>562.16999999999996</v>
      </c>
      <c r="C56">
        <v>563.11</v>
      </c>
      <c r="D56">
        <v>553.69000000000005</v>
      </c>
      <c r="E56">
        <v>558.87</v>
      </c>
      <c r="F56">
        <v>69588167</v>
      </c>
      <c r="G56">
        <v>45728.666666666672</v>
      </c>
      <c r="H56">
        <v>72.91</v>
      </c>
      <c r="I56">
        <v>73.055599999999998</v>
      </c>
      <c r="J56">
        <v>72.89</v>
      </c>
      <c r="K56">
        <v>72.91</v>
      </c>
      <c r="L56">
        <v>6192986</v>
      </c>
      <c r="O56" s="8">
        <v>54</v>
      </c>
      <c r="P56" s="8">
        <f t="shared" si="0"/>
        <v>558.87</v>
      </c>
      <c r="Q56" s="8">
        <f t="shared" si="1"/>
        <v>72.91</v>
      </c>
      <c r="R56" s="21">
        <f t="shared" si="2"/>
        <v>1.3510572703202724E-2</v>
      </c>
      <c r="S56" s="21">
        <f t="shared" si="3"/>
        <v>-3.0083413099958821E-3</v>
      </c>
      <c r="T56" s="15">
        <f>simulation!$B$1*((simulation!$B$4*data!R56)+(simulation!$B$5*data!S56))</f>
        <v>690.30070979232812</v>
      </c>
    </row>
    <row r="57" spans="1:20" x14ac:dyDescent="0.3">
      <c r="A57">
        <v>45727.666666666672</v>
      </c>
      <c r="B57">
        <v>559.4</v>
      </c>
      <c r="C57">
        <v>564.02</v>
      </c>
      <c r="D57">
        <v>552.02</v>
      </c>
      <c r="E57">
        <v>555.91999999999996</v>
      </c>
      <c r="F57">
        <v>88102109</v>
      </c>
      <c r="G57">
        <v>45727.666666666672</v>
      </c>
      <c r="H57">
        <v>73.2</v>
      </c>
      <c r="I57">
        <v>73.424999999999997</v>
      </c>
      <c r="J57">
        <v>73.040000000000006</v>
      </c>
      <c r="K57">
        <v>73.06</v>
      </c>
      <c r="L57">
        <v>8359398</v>
      </c>
      <c r="O57" s="8">
        <v>55</v>
      </c>
      <c r="P57" s="8">
        <f t="shared" si="0"/>
        <v>555.91999999999996</v>
      </c>
      <c r="Q57" s="8">
        <f t="shared" si="1"/>
        <v>73.06</v>
      </c>
      <c r="R57" s="21">
        <f t="shared" si="2"/>
        <v>-5.2785084187736784E-3</v>
      </c>
      <c r="S57" s="21">
        <f t="shared" si="3"/>
        <v>2.0573309559731956E-3</v>
      </c>
      <c r="T57" s="15">
        <f>simulation!$B$1*((simulation!$B$4*data!R57)+(simulation!$B$5*data!S57))</f>
        <v>-234.41726688749284</v>
      </c>
    </row>
    <row r="58" spans="1:20" x14ac:dyDescent="0.3">
      <c r="A58">
        <v>45726.666666666672</v>
      </c>
      <c r="B58">
        <v>567.59</v>
      </c>
      <c r="C58">
        <v>569.54</v>
      </c>
      <c r="D58">
        <v>555.59</v>
      </c>
      <c r="E58">
        <v>560.58000000000004</v>
      </c>
      <c r="F58">
        <v>97084529</v>
      </c>
      <c r="G58">
        <v>45726.666666666672</v>
      </c>
      <c r="H58">
        <v>73.3</v>
      </c>
      <c r="I58">
        <v>73.47</v>
      </c>
      <c r="J58">
        <v>73.27</v>
      </c>
      <c r="K58">
        <v>73.34</v>
      </c>
      <c r="L58">
        <v>8157291</v>
      </c>
      <c r="O58" s="8">
        <v>56</v>
      </c>
      <c r="P58" s="8">
        <f t="shared" si="0"/>
        <v>560.58000000000004</v>
      </c>
      <c r="Q58" s="8">
        <f t="shared" si="1"/>
        <v>73.34</v>
      </c>
      <c r="R58" s="21">
        <f t="shared" si="2"/>
        <v>8.3825010792921324E-3</v>
      </c>
      <c r="S58" s="21">
        <f t="shared" si="3"/>
        <v>3.8324664659184385E-3</v>
      </c>
      <c r="T58" s="15">
        <f>simulation!$B$1*((simulation!$B$4*data!R58)+(simulation!$B$5*data!S58))</f>
        <v>656.24872339426554</v>
      </c>
    </row>
    <row r="59" spans="1:20" x14ac:dyDescent="0.3">
      <c r="A59">
        <v>45723.666666666672</v>
      </c>
      <c r="B59">
        <v>570.9</v>
      </c>
      <c r="C59">
        <v>577.39</v>
      </c>
      <c r="D59">
        <v>565.63</v>
      </c>
      <c r="E59">
        <v>575.91999999999996</v>
      </c>
      <c r="F59">
        <v>81158816</v>
      </c>
      <c r="G59">
        <v>45723.666666666672</v>
      </c>
      <c r="H59">
        <v>73.33</v>
      </c>
      <c r="I59">
        <v>73.37</v>
      </c>
      <c r="J59">
        <v>72.95</v>
      </c>
      <c r="K59">
        <v>73</v>
      </c>
      <c r="L59">
        <v>5036333</v>
      </c>
      <c r="O59" s="8">
        <v>57</v>
      </c>
      <c r="P59" s="8">
        <f t="shared" si="0"/>
        <v>575.91999999999996</v>
      </c>
      <c r="Q59" s="8">
        <f t="shared" si="1"/>
        <v>73</v>
      </c>
      <c r="R59" s="21">
        <f t="shared" si="2"/>
        <v>2.7364515323414888E-2</v>
      </c>
      <c r="S59" s="21">
        <f t="shared" si="3"/>
        <v>-4.6359421870739489E-3</v>
      </c>
      <c r="T59" s="15">
        <f>simulation!$B$1*((simulation!$B$4*data!R59)+(simulation!$B$5*data!S59))</f>
        <v>1456.4332319219354</v>
      </c>
    </row>
    <row r="60" spans="1:20" x14ac:dyDescent="0.3">
      <c r="A60">
        <v>45722.666666666672</v>
      </c>
      <c r="B60">
        <v>575.48</v>
      </c>
      <c r="C60">
        <v>580.17359999999996</v>
      </c>
      <c r="D60">
        <v>570.12</v>
      </c>
      <c r="E60">
        <v>572.71</v>
      </c>
      <c r="F60">
        <v>80094868</v>
      </c>
      <c r="G60">
        <v>45722.666666666672</v>
      </c>
      <c r="H60">
        <v>73.105000000000004</v>
      </c>
      <c r="I60">
        <v>73.2</v>
      </c>
      <c r="J60">
        <v>72.900099999999995</v>
      </c>
      <c r="K60">
        <v>73.08</v>
      </c>
      <c r="L60">
        <v>7196421</v>
      </c>
      <c r="O60" s="8">
        <v>58</v>
      </c>
      <c r="P60" s="8">
        <f t="shared" si="0"/>
        <v>572.71</v>
      </c>
      <c r="Q60" s="8">
        <f t="shared" si="1"/>
        <v>73.08</v>
      </c>
      <c r="R60" s="21">
        <f t="shared" si="2"/>
        <v>-5.5736907903874196E-3</v>
      </c>
      <c r="S60" s="21">
        <f t="shared" si="3"/>
        <v>1.0958904109588808E-3</v>
      </c>
      <c r="T60" s="15">
        <f>simulation!$B$1*((simulation!$B$4*data!R60)+(simulation!$B$5*data!S60))</f>
        <v>-290.58583098488992</v>
      </c>
    </row>
    <row r="61" spans="1:20" x14ac:dyDescent="0.3">
      <c r="A61">
        <v>45721.666666666672</v>
      </c>
      <c r="B61">
        <v>576.69000000000005</v>
      </c>
      <c r="C61">
        <v>584.88</v>
      </c>
      <c r="D61">
        <v>573.07950000000005</v>
      </c>
      <c r="E61">
        <v>583.05999999999995</v>
      </c>
      <c r="F61">
        <v>71230528</v>
      </c>
      <c r="G61">
        <v>45721.666666666672</v>
      </c>
      <c r="H61">
        <v>73.3</v>
      </c>
      <c r="I61">
        <v>73.515000000000001</v>
      </c>
      <c r="J61">
        <v>73.13</v>
      </c>
      <c r="K61">
        <v>73.14</v>
      </c>
      <c r="L61">
        <v>7758398</v>
      </c>
      <c r="O61" s="8">
        <v>59</v>
      </c>
      <c r="P61" s="8">
        <f t="shared" si="0"/>
        <v>583.05999999999995</v>
      </c>
      <c r="Q61" s="8">
        <f t="shared" si="1"/>
        <v>73.14</v>
      </c>
      <c r="R61" s="21">
        <f t="shared" si="2"/>
        <v>1.8071973599203626E-2</v>
      </c>
      <c r="S61" s="21">
        <f t="shared" si="3"/>
        <v>8.2101806239740383E-4</v>
      </c>
      <c r="T61" s="15">
        <f>simulation!$B$1*((simulation!$B$4*data!R61)+(simulation!$B$5*data!S61))</f>
        <v>1117.1591384481137</v>
      </c>
    </row>
    <row r="62" spans="1:20" x14ac:dyDescent="0.3">
      <c r="A62">
        <v>45720.666666666672</v>
      </c>
      <c r="B62">
        <v>579.71</v>
      </c>
      <c r="C62">
        <v>585.39</v>
      </c>
      <c r="D62">
        <v>572.25</v>
      </c>
      <c r="E62">
        <v>576.86</v>
      </c>
      <c r="F62">
        <v>109648212</v>
      </c>
      <c r="G62">
        <v>45720.666666666672</v>
      </c>
      <c r="H62">
        <v>73.61</v>
      </c>
      <c r="I62">
        <v>73.75</v>
      </c>
      <c r="J62">
        <v>73.3232</v>
      </c>
      <c r="K62">
        <v>73.400000000000006</v>
      </c>
      <c r="L62">
        <v>7693140</v>
      </c>
      <c r="O62" s="8">
        <v>60</v>
      </c>
      <c r="P62" s="8">
        <f t="shared" si="0"/>
        <v>576.86</v>
      </c>
      <c r="Q62" s="8">
        <f t="shared" si="1"/>
        <v>73.400000000000006</v>
      </c>
      <c r="R62" s="21">
        <f t="shared" si="2"/>
        <v>-1.0633554008163709E-2</v>
      </c>
      <c r="S62" s="21">
        <f t="shared" si="3"/>
        <v>3.5548263604047734E-3</v>
      </c>
      <c r="T62" s="15">
        <f>simulation!$B$1*((simulation!$B$4*data!R62)+(simulation!$B$5*data!S62))</f>
        <v>-495.82018607363159</v>
      </c>
    </row>
    <row r="63" spans="1:20" x14ac:dyDescent="0.3">
      <c r="A63">
        <v>45719.666666666672</v>
      </c>
      <c r="B63">
        <v>596.17999999999995</v>
      </c>
      <c r="C63">
        <v>597.34</v>
      </c>
      <c r="D63">
        <v>579.9</v>
      </c>
      <c r="E63">
        <v>583.77</v>
      </c>
      <c r="F63">
        <v>74249199</v>
      </c>
      <c r="G63">
        <v>45719.666666666672</v>
      </c>
      <c r="H63">
        <v>73.25</v>
      </c>
      <c r="I63">
        <v>73.629900000000006</v>
      </c>
      <c r="J63">
        <v>73.22</v>
      </c>
      <c r="K63">
        <v>73.61</v>
      </c>
      <c r="L63">
        <v>7549672</v>
      </c>
      <c r="O63" s="8">
        <v>61</v>
      </c>
      <c r="P63" s="8">
        <f t="shared" si="0"/>
        <v>583.77</v>
      </c>
      <c r="Q63" s="8">
        <f t="shared" si="1"/>
        <v>73.61</v>
      </c>
      <c r="R63" s="21">
        <f t="shared" si="2"/>
        <v>1.1978642998301092E-2</v>
      </c>
      <c r="S63" s="21">
        <f t="shared" si="3"/>
        <v>2.861035422343239E-3</v>
      </c>
      <c r="T63" s="15">
        <f>simulation!$B$1*((simulation!$B$4*data!R63)+(simulation!$B$5*data!S63))</f>
        <v>833.15999679179504</v>
      </c>
    </row>
    <row r="64" spans="1:20" x14ac:dyDescent="0.3">
      <c r="A64">
        <v>45716.666666666672</v>
      </c>
      <c r="B64">
        <v>585.55999999999995</v>
      </c>
      <c r="C64">
        <v>594.72</v>
      </c>
      <c r="D64">
        <v>582.44000000000005</v>
      </c>
      <c r="E64">
        <v>594.17999999999995</v>
      </c>
      <c r="F64">
        <v>88744106</v>
      </c>
      <c r="G64">
        <v>45716.666666666672</v>
      </c>
      <c r="H64">
        <v>73.52</v>
      </c>
      <c r="I64">
        <v>73.685000000000002</v>
      </c>
      <c r="J64">
        <v>73.405000000000001</v>
      </c>
      <c r="K64">
        <v>73.66</v>
      </c>
      <c r="L64">
        <v>8363466</v>
      </c>
      <c r="O64" s="8">
        <v>62</v>
      </c>
      <c r="P64" s="8">
        <f t="shared" si="0"/>
        <v>594.17999999999995</v>
      </c>
      <c r="Q64" s="8">
        <f t="shared" si="1"/>
        <v>73.66</v>
      </c>
      <c r="R64" s="21">
        <f t="shared" si="2"/>
        <v>1.7832365486407264E-2</v>
      </c>
      <c r="S64" s="21">
        <f t="shared" si="3"/>
        <v>6.7925553593257927E-4</v>
      </c>
      <c r="T64" s="15">
        <f>simulation!$B$1*((simulation!$B$4*data!R64)+(simulation!$B$5*data!S64))</f>
        <v>1097.1121506217389</v>
      </c>
    </row>
    <row r="65" spans="1:20" x14ac:dyDescent="0.3">
      <c r="A65">
        <v>45715.666666666672</v>
      </c>
      <c r="B65">
        <v>596.85</v>
      </c>
      <c r="C65">
        <v>598.02</v>
      </c>
      <c r="D65">
        <v>584.65</v>
      </c>
      <c r="E65">
        <v>585.04999999999995</v>
      </c>
      <c r="F65">
        <v>74196664</v>
      </c>
      <c r="G65">
        <v>45715.666666666672</v>
      </c>
      <c r="H65">
        <v>73.305000000000007</v>
      </c>
      <c r="I65">
        <v>73.415000000000006</v>
      </c>
      <c r="J65">
        <v>73.22</v>
      </c>
      <c r="K65">
        <v>73.349999999999994</v>
      </c>
      <c r="L65">
        <v>14908532</v>
      </c>
      <c r="O65" s="8">
        <v>63</v>
      </c>
      <c r="P65" s="8">
        <f t="shared" si="0"/>
        <v>585.04999999999995</v>
      </c>
      <c r="Q65" s="8">
        <f t="shared" si="1"/>
        <v>73.349999999999994</v>
      </c>
      <c r="R65" s="21">
        <f t="shared" si="2"/>
        <v>-1.5365714093372373E-2</v>
      </c>
      <c r="S65" s="21">
        <f t="shared" si="3"/>
        <v>-4.2085256584306584E-3</v>
      </c>
      <c r="T65" s="15">
        <f>simulation!$B$1*((simulation!$B$4*data!R65)+(simulation!$B$5*data!S65))</f>
        <v>-1090.2838719395686</v>
      </c>
    </row>
    <row r="66" spans="1:20" x14ac:dyDescent="0.3">
      <c r="A66">
        <v>45714.666666666672</v>
      </c>
      <c r="B66">
        <v>595.92999999999995</v>
      </c>
      <c r="C66">
        <v>599.58000000000004</v>
      </c>
      <c r="D66">
        <v>591.85559999999998</v>
      </c>
      <c r="E66">
        <v>594.54</v>
      </c>
      <c r="F66">
        <v>43321578</v>
      </c>
      <c r="G66">
        <v>45714.666666666672</v>
      </c>
      <c r="H66">
        <v>73.31</v>
      </c>
      <c r="I66">
        <v>73.48</v>
      </c>
      <c r="J66">
        <v>73.213300000000004</v>
      </c>
      <c r="K66">
        <v>73.44</v>
      </c>
      <c r="L66">
        <v>5825665</v>
      </c>
      <c r="O66" s="8">
        <v>64</v>
      </c>
      <c r="P66" s="8">
        <f t="shared" si="0"/>
        <v>594.54</v>
      </c>
      <c r="Q66" s="8">
        <f t="shared" si="1"/>
        <v>73.44</v>
      </c>
      <c r="R66" s="21">
        <f t="shared" si="2"/>
        <v>1.6220835825997794E-2</v>
      </c>
      <c r="S66" s="21">
        <f t="shared" si="3"/>
        <v>1.2269938650307215E-3</v>
      </c>
      <c r="T66" s="15">
        <f>simulation!$B$1*((simulation!$B$4*data!R66)+(simulation!$B$5*data!S66))</f>
        <v>1022.3299041610965</v>
      </c>
    </row>
    <row r="67" spans="1:20" x14ac:dyDescent="0.3">
      <c r="A67">
        <v>45713.666666666672</v>
      </c>
      <c r="B67">
        <v>597.15</v>
      </c>
      <c r="C67">
        <v>597.89</v>
      </c>
      <c r="D67">
        <v>589.55999999999995</v>
      </c>
      <c r="E67">
        <v>594.24</v>
      </c>
      <c r="F67">
        <v>58266472</v>
      </c>
      <c r="G67">
        <v>45713.666666666672</v>
      </c>
      <c r="H67">
        <v>73.11</v>
      </c>
      <c r="I67">
        <v>73.33</v>
      </c>
      <c r="J67">
        <v>73.05</v>
      </c>
      <c r="K67">
        <v>73.33</v>
      </c>
      <c r="L67">
        <v>4835591</v>
      </c>
      <c r="O67" s="8">
        <v>65</v>
      </c>
      <c r="P67" s="8">
        <f t="shared" ref="P67:P130" si="4">E67</f>
        <v>594.24</v>
      </c>
      <c r="Q67" s="8">
        <f t="shared" ref="Q67:Q130" si="5">K67</f>
        <v>73.33</v>
      </c>
      <c r="R67" s="21">
        <f t="shared" si="2"/>
        <v>-5.0459178524565971E-4</v>
      </c>
      <c r="S67" s="21">
        <f t="shared" si="3"/>
        <v>-1.4978213507625196E-3</v>
      </c>
      <c r="T67" s="15">
        <f>simulation!$B$1*((simulation!$B$4*data!R67)+(simulation!$B$5*data!S67))</f>
        <v>-90.188361145240364</v>
      </c>
    </row>
    <row r="68" spans="1:20" x14ac:dyDescent="0.3">
      <c r="A68">
        <v>45712.666666666672</v>
      </c>
      <c r="B68">
        <v>602.02</v>
      </c>
      <c r="C68">
        <v>603.03</v>
      </c>
      <c r="D68">
        <v>596.49</v>
      </c>
      <c r="E68">
        <v>597.21</v>
      </c>
      <c r="F68">
        <v>50737213</v>
      </c>
      <c r="G68">
        <v>45712.666666666672</v>
      </c>
      <c r="H68">
        <v>72.7</v>
      </c>
      <c r="I68">
        <v>72.92</v>
      </c>
      <c r="J68">
        <v>72.69</v>
      </c>
      <c r="K68">
        <v>72.87</v>
      </c>
      <c r="L68">
        <v>5580117</v>
      </c>
      <c r="O68" s="8">
        <v>66</v>
      </c>
      <c r="P68" s="8">
        <f t="shared" si="4"/>
        <v>597.21</v>
      </c>
      <c r="Q68" s="8">
        <f t="shared" si="5"/>
        <v>72.87</v>
      </c>
      <c r="R68" s="21">
        <f t="shared" si="2"/>
        <v>4.9979806138934222E-3</v>
      </c>
      <c r="S68" s="21">
        <f t="shared" si="3"/>
        <v>-6.2730124096548991E-3</v>
      </c>
      <c r="T68" s="15">
        <f>simulation!$B$1*((simulation!$B$4*data!R68)+(simulation!$B$5*data!S68))</f>
        <v>48.958340447409313</v>
      </c>
    </row>
    <row r="69" spans="1:20" x14ac:dyDescent="0.3">
      <c r="A69">
        <v>45709.666666666672</v>
      </c>
      <c r="B69">
        <v>610.16</v>
      </c>
      <c r="C69">
        <v>610.29999999999995</v>
      </c>
      <c r="D69">
        <v>599.47</v>
      </c>
      <c r="E69">
        <v>599.94000000000005</v>
      </c>
      <c r="F69">
        <v>76519818</v>
      </c>
      <c r="G69">
        <v>45709.666666666672</v>
      </c>
      <c r="H69">
        <v>72.534999999999997</v>
      </c>
      <c r="I69">
        <v>72.86</v>
      </c>
      <c r="J69">
        <v>72.53</v>
      </c>
      <c r="K69">
        <v>72.765000000000001</v>
      </c>
      <c r="L69">
        <v>4460631</v>
      </c>
      <c r="O69" s="8">
        <v>67</v>
      </c>
      <c r="P69" s="8">
        <f t="shared" si="4"/>
        <v>599.94000000000005</v>
      </c>
      <c r="Q69" s="8">
        <f t="shared" si="5"/>
        <v>72.765000000000001</v>
      </c>
      <c r="R69" s="21">
        <f t="shared" ref="R69:R132" si="6">(P69-P68)/P68</f>
        <v>4.5712563419902852E-3</v>
      </c>
      <c r="S69" s="21">
        <f t="shared" ref="S69:S132" si="7">(Q69-Q68)/Q68</f>
        <v>-1.4409221902017837E-3</v>
      </c>
      <c r="T69" s="15">
        <f>simulation!$B$1*((simulation!$B$4*data!R69)+(simulation!$B$5*data!S69))</f>
        <v>216.63849291134576</v>
      </c>
    </row>
    <row r="70" spans="1:20" x14ac:dyDescent="0.3">
      <c r="A70">
        <v>45708.666666666672</v>
      </c>
      <c r="B70">
        <v>611.54</v>
      </c>
      <c r="C70">
        <v>611.68399999999997</v>
      </c>
      <c r="D70">
        <v>607.02</v>
      </c>
      <c r="E70">
        <v>610.38</v>
      </c>
      <c r="F70">
        <v>36554002</v>
      </c>
      <c r="G70">
        <v>45708.666666666672</v>
      </c>
      <c r="H70">
        <v>72.459999999999994</v>
      </c>
      <c r="I70">
        <v>72.5</v>
      </c>
      <c r="J70">
        <v>72.42</v>
      </c>
      <c r="K70">
        <v>72.45</v>
      </c>
      <c r="L70">
        <v>6199049</v>
      </c>
      <c r="O70" s="8">
        <v>68</v>
      </c>
      <c r="P70" s="8">
        <f t="shared" si="4"/>
        <v>610.38</v>
      </c>
      <c r="Q70" s="8">
        <f t="shared" si="5"/>
        <v>72.45</v>
      </c>
      <c r="R70" s="21">
        <f t="shared" si="6"/>
        <v>1.7401740174017303E-2</v>
      </c>
      <c r="S70" s="21">
        <f t="shared" si="7"/>
        <v>-4.3290043290042978E-3</v>
      </c>
      <c r="T70" s="15">
        <f>simulation!$B$1*((simulation!$B$4*data!R70)+(simulation!$B$5*data!S70))</f>
        <v>870.94423728086622</v>
      </c>
    </row>
    <row r="71" spans="1:20" x14ac:dyDescent="0.3">
      <c r="A71">
        <v>45707.666666666672</v>
      </c>
      <c r="B71">
        <v>610.08000000000004</v>
      </c>
      <c r="C71">
        <v>613.23</v>
      </c>
      <c r="D71">
        <v>609.55999999999995</v>
      </c>
      <c r="E71">
        <v>612.92999999999995</v>
      </c>
      <c r="F71">
        <v>31011072</v>
      </c>
      <c r="G71">
        <v>45707.666666666672</v>
      </c>
      <c r="H71">
        <v>72.284999999999997</v>
      </c>
      <c r="I71">
        <v>72.39</v>
      </c>
      <c r="J71">
        <v>72.2149</v>
      </c>
      <c r="K71">
        <v>72.36</v>
      </c>
      <c r="L71">
        <v>4720798</v>
      </c>
      <c r="O71" s="8">
        <v>69</v>
      </c>
      <c r="P71" s="8">
        <f t="shared" si="4"/>
        <v>612.92999999999995</v>
      </c>
      <c r="Q71" s="8">
        <f t="shared" si="5"/>
        <v>72.36</v>
      </c>
      <c r="R71" s="21">
        <f t="shared" si="6"/>
        <v>4.1777253514203522E-3</v>
      </c>
      <c r="S71" s="21">
        <f t="shared" si="7"/>
        <v>-1.2422360248447676E-3</v>
      </c>
      <c r="T71" s="15">
        <f>simulation!$B$1*((simulation!$B$4*data!R71)+(simulation!$B$5*data!S71))</f>
        <v>200.97408009143038</v>
      </c>
    </row>
    <row r="72" spans="1:20" x14ac:dyDescent="0.3">
      <c r="A72">
        <v>45706.666666666672</v>
      </c>
      <c r="B72">
        <v>610.88</v>
      </c>
      <c r="C72">
        <v>611.49</v>
      </c>
      <c r="D72">
        <v>608.38</v>
      </c>
      <c r="E72">
        <v>611.49</v>
      </c>
      <c r="F72">
        <v>26749030</v>
      </c>
      <c r="G72">
        <v>45706.666666666672</v>
      </c>
      <c r="H72">
        <v>72.344999999999999</v>
      </c>
      <c r="I72">
        <v>72.45</v>
      </c>
      <c r="J72">
        <v>72.25</v>
      </c>
      <c r="K72">
        <v>72.260000000000005</v>
      </c>
      <c r="L72">
        <v>7151704</v>
      </c>
      <c r="O72" s="8">
        <v>70</v>
      </c>
      <c r="P72" s="8">
        <f t="shared" si="4"/>
        <v>611.49</v>
      </c>
      <c r="Q72" s="8">
        <f t="shared" si="5"/>
        <v>72.260000000000005</v>
      </c>
      <c r="R72" s="21">
        <f t="shared" si="6"/>
        <v>-2.3493710537907117E-3</v>
      </c>
      <c r="S72" s="21">
        <f t="shared" si="7"/>
        <v>-1.3819789939192139E-3</v>
      </c>
      <c r="T72" s="15">
        <f>simulation!$B$1*((simulation!$B$4*data!R72)+(simulation!$B$5*data!S72))</f>
        <v>-196.24142298421123</v>
      </c>
    </row>
    <row r="73" spans="1:20" x14ac:dyDescent="0.3">
      <c r="A73">
        <v>45702.666666666672</v>
      </c>
      <c r="B73">
        <v>609.94000000000005</v>
      </c>
      <c r="C73">
        <v>610.99</v>
      </c>
      <c r="D73">
        <v>609.07000000000005</v>
      </c>
      <c r="E73">
        <v>609.70000000000005</v>
      </c>
      <c r="F73">
        <v>26910448</v>
      </c>
      <c r="G73">
        <v>45702.666666666672</v>
      </c>
      <c r="H73">
        <v>72.459999999999994</v>
      </c>
      <c r="I73">
        <v>72.680000000000007</v>
      </c>
      <c r="J73">
        <v>72.459999999999994</v>
      </c>
      <c r="K73">
        <v>72.53</v>
      </c>
      <c r="L73">
        <v>6131695</v>
      </c>
      <c r="O73" s="8">
        <v>71</v>
      </c>
      <c r="P73" s="8">
        <f t="shared" si="4"/>
        <v>609.70000000000005</v>
      </c>
      <c r="Q73" s="8">
        <f t="shared" si="5"/>
        <v>72.53</v>
      </c>
      <c r="R73" s="21">
        <f t="shared" si="6"/>
        <v>-2.9272759979721069E-3</v>
      </c>
      <c r="S73" s="21">
        <f t="shared" si="7"/>
        <v>3.7365070578466095E-3</v>
      </c>
      <c r="T73" s="15">
        <f>simulation!$B$1*((simulation!$B$4*data!R73)+(simulation!$B$5*data!S73))</f>
        <v>-26.176277564462016</v>
      </c>
    </row>
    <row r="74" spans="1:20" x14ac:dyDescent="0.3">
      <c r="A74">
        <v>45701.666666666672</v>
      </c>
      <c r="B74">
        <v>604.48</v>
      </c>
      <c r="C74">
        <v>609.94000000000005</v>
      </c>
      <c r="D74">
        <v>603.20000000000005</v>
      </c>
      <c r="E74">
        <v>609.73</v>
      </c>
      <c r="F74">
        <v>40921297</v>
      </c>
      <c r="G74">
        <v>45701.666666666672</v>
      </c>
      <c r="H74">
        <v>72.16</v>
      </c>
      <c r="I74">
        <v>72.37</v>
      </c>
      <c r="J74">
        <v>72.069999999999993</v>
      </c>
      <c r="K74">
        <v>72.3</v>
      </c>
      <c r="L74">
        <v>6452940</v>
      </c>
      <c r="O74" s="8">
        <v>72</v>
      </c>
      <c r="P74" s="8">
        <f t="shared" si="4"/>
        <v>609.73</v>
      </c>
      <c r="Q74" s="8">
        <f t="shared" si="5"/>
        <v>72.3</v>
      </c>
      <c r="R74" s="21">
        <f t="shared" si="6"/>
        <v>4.920452681642236E-5</v>
      </c>
      <c r="S74" s="21">
        <f t="shared" si="7"/>
        <v>-3.1711016131256578E-3</v>
      </c>
      <c r="T74" s="15">
        <f>simulation!$B$1*((simulation!$B$4*data!R74)+(simulation!$B$5*data!S74))</f>
        <v>-123.89179291604098</v>
      </c>
    </row>
    <row r="75" spans="1:20" x14ac:dyDescent="0.3">
      <c r="A75">
        <v>45700.666666666672</v>
      </c>
      <c r="B75">
        <v>599.20000000000005</v>
      </c>
      <c r="C75">
        <v>604.54999999999995</v>
      </c>
      <c r="D75">
        <v>598.51</v>
      </c>
      <c r="E75">
        <v>603.36</v>
      </c>
      <c r="F75">
        <v>45076076</v>
      </c>
      <c r="G75">
        <v>45700.666666666672</v>
      </c>
      <c r="H75">
        <v>71.924999999999997</v>
      </c>
      <c r="I75">
        <v>71.989999999999995</v>
      </c>
      <c r="J75">
        <v>71.75</v>
      </c>
      <c r="K75">
        <v>71.87</v>
      </c>
      <c r="L75">
        <v>5279616</v>
      </c>
      <c r="O75" s="8">
        <v>73</v>
      </c>
      <c r="P75" s="8">
        <f t="shared" si="4"/>
        <v>603.36</v>
      </c>
      <c r="Q75" s="8">
        <f t="shared" si="5"/>
        <v>71.87</v>
      </c>
      <c r="R75" s="21">
        <f t="shared" si="6"/>
        <v>-1.0447247142177693E-2</v>
      </c>
      <c r="S75" s="21">
        <f t="shared" si="7"/>
        <v>-5.9474412171506589E-3</v>
      </c>
      <c r="T75" s="15">
        <f>simulation!$B$1*((simulation!$B$4*data!R75)+(simulation!$B$5*data!S75))</f>
        <v>-864.73247721668804</v>
      </c>
    </row>
    <row r="76" spans="1:20" x14ac:dyDescent="0.3">
      <c r="A76">
        <v>45699.666666666672</v>
      </c>
      <c r="B76">
        <v>602.54999999999995</v>
      </c>
      <c r="C76">
        <v>605.86</v>
      </c>
      <c r="D76">
        <v>602.42999999999995</v>
      </c>
      <c r="E76">
        <v>605.30999999999995</v>
      </c>
      <c r="F76">
        <v>30056740</v>
      </c>
      <c r="G76">
        <v>45699.666666666672</v>
      </c>
      <c r="H76">
        <v>72.31</v>
      </c>
      <c r="I76">
        <v>72.31</v>
      </c>
      <c r="J76">
        <v>72.180000000000007</v>
      </c>
      <c r="K76">
        <v>72.239999999999995</v>
      </c>
      <c r="L76">
        <v>6871183</v>
      </c>
      <c r="O76" s="8">
        <v>74</v>
      </c>
      <c r="P76" s="8">
        <f t="shared" si="4"/>
        <v>605.30999999999995</v>
      </c>
      <c r="Q76" s="8">
        <f t="shared" si="5"/>
        <v>72.239999999999995</v>
      </c>
      <c r="R76" s="21">
        <f t="shared" si="6"/>
        <v>3.2319013524262988E-3</v>
      </c>
      <c r="S76" s="21">
        <f t="shared" si="7"/>
        <v>5.1481842215109269E-3</v>
      </c>
      <c r="T76" s="15">
        <f>simulation!$B$1*((simulation!$B$4*data!R76)+(simulation!$B$5*data!S76))</f>
        <v>399.84145000601501</v>
      </c>
    </row>
    <row r="77" spans="1:20" x14ac:dyDescent="0.3">
      <c r="A77">
        <v>45698.666666666672</v>
      </c>
      <c r="B77">
        <v>604.03</v>
      </c>
      <c r="C77">
        <v>605.49990000000003</v>
      </c>
      <c r="D77">
        <v>602.74</v>
      </c>
      <c r="E77">
        <v>604.85</v>
      </c>
      <c r="F77">
        <v>26048714</v>
      </c>
      <c r="G77">
        <v>45698.666666666672</v>
      </c>
      <c r="H77">
        <v>72.45</v>
      </c>
      <c r="I77">
        <v>72.510000000000005</v>
      </c>
      <c r="J77">
        <v>72.319999999999993</v>
      </c>
      <c r="K77">
        <v>72.36</v>
      </c>
      <c r="L77">
        <v>5439533</v>
      </c>
      <c r="O77" s="8">
        <v>75</v>
      </c>
      <c r="P77" s="8">
        <f t="shared" si="4"/>
        <v>604.85</v>
      </c>
      <c r="Q77" s="8">
        <f t="shared" si="5"/>
        <v>72.36</v>
      </c>
      <c r="R77" s="21">
        <f t="shared" si="6"/>
        <v>-7.5994118716017037E-4</v>
      </c>
      <c r="S77" s="21">
        <f t="shared" si="7"/>
        <v>1.6611295681063754E-3</v>
      </c>
      <c r="T77" s="15">
        <f>simulation!$B$1*((simulation!$B$4*data!R77)+(simulation!$B$5*data!S77))</f>
        <v>20.848711494644803</v>
      </c>
    </row>
    <row r="78" spans="1:20" x14ac:dyDescent="0.3">
      <c r="A78">
        <v>45695.666666666672</v>
      </c>
      <c r="B78">
        <v>606.89</v>
      </c>
      <c r="C78">
        <v>608.13</v>
      </c>
      <c r="D78">
        <v>600.04999999999995</v>
      </c>
      <c r="E78">
        <v>600.77</v>
      </c>
      <c r="F78">
        <v>50788516</v>
      </c>
      <c r="G78">
        <v>45695.666666666672</v>
      </c>
      <c r="H78">
        <v>72.39</v>
      </c>
      <c r="I78">
        <v>72.44</v>
      </c>
      <c r="J78">
        <v>72.274299999999997</v>
      </c>
      <c r="K78">
        <v>72.34</v>
      </c>
      <c r="L78">
        <v>6415636</v>
      </c>
      <c r="O78" s="8">
        <v>76</v>
      </c>
      <c r="P78" s="8">
        <f t="shared" si="4"/>
        <v>600.77</v>
      </c>
      <c r="Q78" s="8">
        <f t="shared" si="5"/>
        <v>72.34</v>
      </c>
      <c r="R78" s="21">
        <f t="shared" si="6"/>
        <v>-6.745474084483824E-3</v>
      </c>
      <c r="S78" s="21">
        <f t="shared" si="7"/>
        <v>-2.7639579878380351E-4</v>
      </c>
      <c r="T78" s="15">
        <f>simulation!$B$1*((simulation!$B$4*data!R78)+(simulation!$B$5*data!S78))</f>
        <v>-415.78427702038158</v>
      </c>
    </row>
    <row r="79" spans="1:20" x14ac:dyDescent="0.3">
      <c r="A79">
        <v>45694.666666666672</v>
      </c>
      <c r="B79">
        <v>605.99</v>
      </c>
      <c r="C79">
        <v>606.45249999999999</v>
      </c>
      <c r="D79">
        <v>602.63</v>
      </c>
      <c r="E79">
        <v>606.32000000000005</v>
      </c>
      <c r="F79">
        <v>35771503</v>
      </c>
      <c r="G79">
        <v>45694.666666666672</v>
      </c>
      <c r="H79">
        <v>72.56</v>
      </c>
      <c r="I79">
        <v>72.650000000000006</v>
      </c>
      <c r="J79">
        <v>72.48</v>
      </c>
      <c r="K79">
        <v>72.56</v>
      </c>
      <c r="L79">
        <v>5722073</v>
      </c>
      <c r="O79" s="8">
        <v>77</v>
      </c>
      <c r="P79" s="8">
        <f t="shared" si="4"/>
        <v>606.32000000000005</v>
      </c>
      <c r="Q79" s="8">
        <f t="shared" si="5"/>
        <v>72.56</v>
      </c>
      <c r="R79" s="21">
        <f t="shared" si="6"/>
        <v>9.2381443813773466E-3</v>
      </c>
      <c r="S79" s="21">
        <f t="shared" si="7"/>
        <v>3.0411943599668073E-3</v>
      </c>
      <c r="T79" s="15">
        <f>simulation!$B$1*((simulation!$B$4*data!R79)+(simulation!$B$5*data!S79))</f>
        <v>675.93643728131315</v>
      </c>
    </row>
    <row r="80" spans="1:20" x14ac:dyDescent="0.3">
      <c r="A80">
        <v>45693.666666666672</v>
      </c>
      <c r="B80">
        <v>600.64</v>
      </c>
      <c r="C80">
        <v>604.37</v>
      </c>
      <c r="D80">
        <v>598.58000000000004</v>
      </c>
      <c r="E80">
        <v>604.22</v>
      </c>
      <c r="F80">
        <v>30653149</v>
      </c>
      <c r="G80">
        <v>45693.666666666672</v>
      </c>
      <c r="H80">
        <v>72.52</v>
      </c>
      <c r="I80">
        <v>72.760000000000005</v>
      </c>
      <c r="J80">
        <v>72.5</v>
      </c>
      <c r="K80">
        <v>72.64</v>
      </c>
      <c r="L80">
        <v>8981687</v>
      </c>
      <c r="O80" s="8">
        <v>78</v>
      </c>
      <c r="P80" s="8">
        <f t="shared" si="4"/>
        <v>604.22</v>
      </c>
      <c r="Q80" s="8">
        <f t="shared" si="5"/>
        <v>72.64</v>
      </c>
      <c r="R80" s="21">
        <f t="shared" si="6"/>
        <v>-3.4635176144610477E-3</v>
      </c>
      <c r="S80" s="21">
        <f t="shared" si="7"/>
        <v>1.1025358324145299E-3</v>
      </c>
      <c r="T80" s="15">
        <f>simulation!$B$1*((simulation!$B$4*data!R80)+(simulation!$B$5*data!S80))</f>
        <v>-163.70962357108166</v>
      </c>
    </row>
    <row r="81" spans="1:20" x14ac:dyDescent="0.3">
      <c r="A81">
        <v>45692.666666666672</v>
      </c>
      <c r="B81">
        <v>597.83000000000004</v>
      </c>
      <c r="C81">
        <v>602.29999999999995</v>
      </c>
      <c r="D81">
        <v>597.28</v>
      </c>
      <c r="E81">
        <v>601.78</v>
      </c>
      <c r="F81">
        <v>33457815</v>
      </c>
      <c r="G81">
        <v>45692.666666666672</v>
      </c>
      <c r="H81">
        <v>72.040000000000006</v>
      </c>
      <c r="I81">
        <v>72.290000000000006</v>
      </c>
      <c r="J81">
        <v>71.970100000000002</v>
      </c>
      <c r="K81">
        <v>72.27</v>
      </c>
      <c r="L81">
        <v>7296233</v>
      </c>
      <c r="O81" s="8">
        <v>79</v>
      </c>
      <c r="P81" s="8">
        <f t="shared" si="4"/>
        <v>601.78</v>
      </c>
      <c r="Q81" s="8">
        <f t="shared" si="5"/>
        <v>72.27</v>
      </c>
      <c r="R81" s="21">
        <f t="shared" si="6"/>
        <v>-4.0382642084010037E-3</v>
      </c>
      <c r="S81" s="21">
        <f t="shared" si="7"/>
        <v>-5.0936123348018243E-3</v>
      </c>
      <c r="T81" s="15">
        <f>simulation!$B$1*((simulation!$B$4*data!R81)+(simulation!$B$5*data!S81))</f>
        <v>-446.04034589613315</v>
      </c>
    </row>
    <row r="82" spans="1:20" x14ac:dyDescent="0.3">
      <c r="A82">
        <v>45691.666666666672</v>
      </c>
      <c r="B82">
        <v>592.66999999999996</v>
      </c>
      <c r="C82">
        <v>600.29</v>
      </c>
      <c r="D82">
        <v>590.49</v>
      </c>
      <c r="E82">
        <v>597.77</v>
      </c>
      <c r="F82">
        <v>65857248</v>
      </c>
      <c r="G82">
        <v>45691.666666666672</v>
      </c>
      <c r="H82">
        <v>72.23</v>
      </c>
      <c r="I82">
        <v>72.424999999999997</v>
      </c>
      <c r="J82">
        <v>72.061599999999999</v>
      </c>
      <c r="K82">
        <v>72.17</v>
      </c>
      <c r="L82">
        <v>7163803</v>
      </c>
      <c r="O82" s="8">
        <v>80</v>
      </c>
      <c r="P82" s="8">
        <f t="shared" si="4"/>
        <v>597.77</v>
      </c>
      <c r="Q82" s="8">
        <f t="shared" si="5"/>
        <v>72.17</v>
      </c>
      <c r="R82" s="21">
        <f t="shared" si="6"/>
        <v>-6.6635647578849261E-3</v>
      </c>
      <c r="S82" s="21">
        <f t="shared" si="7"/>
        <v>-1.3837000138369215E-3</v>
      </c>
      <c r="T82" s="15">
        <f>simulation!$B$1*((simulation!$B$4*data!R82)+(simulation!$B$5*data!S82))</f>
        <v>-455.16188602657235</v>
      </c>
    </row>
    <row r="83" spans="1:20" x14ac:dyDescent="0.3">
      <c r="A83">
        <v>45688.666666666672</v>
      </c>
      <c r="B83">
        <v>607.5</v>
      </c>
      <c r="C83">
        <v>609.96</v>
      </c>
      <c r="D83">
        <v>601.04999999999995</v>
      </c>
      <c r="E83">
        <v>601.82000000000005</v>
      </c>
      <c r="F83">
        <v>66671471</v>
      </c>
      <c r="G83">
        <v>45688.666666666672</v>
      </c>
      <c r="H83">
        <v>72.48</v>
      </c>
      <c r="I83">
        <v>72.540000000000006</v>
      </c>
      <c r="J83">
        <v>72.2</v>
      </c>
      <c r="K83">
        <v>72.34</v>
      </c>
      <c r="L83">
        <v>6738335</v>
      </c>
      <c r="O83" s="8">
        <v>81</v>
      </c>
      <c r="P83" s="8">
        <f t="shared" si="4"/>
        <v>601.82000000000005</v>
      </c>
      <c r="Q83" s="8">
        <f t="shared" si="5"/>
        <v>72.34</v>
      </c>
      <c r="R83" s="21">
        <f t="shared" si="6"/>
        <v>6.7751810897168953E-3</v>
      </c>
      <c r="S83" s="21">
        <f t="shared" si="7"/>
        <v>2.3555493972565013E-3</v>
      </c>
      <c r="T83" s="15">
        <f>simulation!$B$1*((simulation!$B$4*data!R83)+(simulation!$B$5*data!S83))</f>
        <v>500.73284127327378</v>
      </c>
    </row>
    <row r="84" spans="1:20" x14ac:dyDescent="0.3">
      <c r="A84">
        <v>45687.666666666672</v>
      </c>
      <c r="B84">
        <v>603.96</v>
      </c>
      <c r="C84">
        <v>606.6</v>
      </c>
      <c r="D84">
        <v>600.71500000000003</v>
      </c>
      <c r="E84">
        <v>605.04</v>
      </c>
      <c r="F84">
        <v>39281255</v>
      </c>
      <c r="G84">
        <v>45687.666666666672</v>
      </c>
      <c r="H84">
        <v>72.459999999999994</v>
      </c>
      <c r="I84">
        <v>72.53</v>
      </c>
      <c r="J84">
        <v>72.38</v>
      </c>
      <c r="K84">
        <v>72.44</v>
      </c>
      <c r="L84">
        <v>5622434</v>
      </c>
      <c r="O84" s="8">
        <v>82</v>
      </c>
      <c r="P84" s="8">
        <f t="shared" si="4"/>
        <v>605.04</v>
      </c>
      <c r="Q84" s="8">
        <f t="shared" si="5"/>
        <v>72.44</v>
      </c>
      <c r="R84" s="21">
        <f t="shared" si="6"/>
        <v>5.3504370077430349E-3</v>
      </c>
      <c r="S84" s="21">
        <f t="shared" si="7"/>
        <v>1.3823610727121138E-3</v>
      </c>
      <c r="T84" s="15">
        <f>simulation!$B$1*((simulation!$B$4*data!R84)+(simulation!$B$5*data!S84))</f>
        <v>376.32066337306662</v>
      </c>
    </row>
    <row r="85" spans="1:20" x14ac:dyDescent="0.3">
      <c r="A85">
        <v>45686.666666666672</v>
      </c>
      <c r="B85">
        <v>603.72</v>
      </c>
      <c r="C85">
        <v>604.13</v>
      </c>
      <c r="D85">
        <v>599.22</v>
      </c>
      <c r="E85">
        <v>601.80999999999995</v>
      </c>
      <c r="F85">
        <v>37177429</v>
      </c>
      <c r="G85">
        <v>45686.666666666672</v>
      </c>
      <c r="H85">
        <v>72.430000000000007</v>
      </c>
      <c r="I85">
        <v>72.489999999999995</v>
      </c>
      <c r="J85">
        <v>72.17</v>
      </c>
      <c r="K85">
        <v>72.34</v>
      </c>
      <c r="L85">
        <v>5780349</v>
      </c>
      <c r="O85" s="8">
        <v>83</v>
      </c>
      <c r="P85" s="8">
        <f t="shared" si="4"/>
        <v>601.80999999999995</v>
      </c>
      <c r="Q85" s="8">
        <f t="shared" si="5"/>
        <v>72.34</v>
      </c>
      <c r="R85" s="21">
        <f t="shared" si="6"/>
        <v>-5.3384900171889764E-3</v>
      </c>
      <c r="S85" s="21">
        <f t="shared" si="7"/>
        <v>-1.3804527885145543E-3</v>
      </c>
      <c r="T85" s="15">
        <f>simulation!$B$1*((simulation!$B$4*data!R85)+(simulation!$B$5*data!S85))</f>
        <v>-375.52751257192074</v>
      </c>
    </row>
    <row r="86" spans="1:20" x14ac:dyDescent="0.3">
      <c r="A86">
        <v>45685.666666666672</v>
      </c>
      <c r="B86">
        <v>600.62</v>
      </c>
      <c r="C86">
        <v>605.37</v>
      </c>
      <c r="D86">
        <v>597.25</v>
      </c>
      <c r="E86">
        <v>604.52</v>
      </c>
      <c r="F86">
        <v>44433322</v>
      </c>
      <c r="G86">
        <v>45685.666666666672</v>
      </c>
      <c r="H86">
        <v>72.39</v>
      </c>
      <c r="I86">
        <v>72.39</v>
      </c>
      <c r="J86">
        <v>72.209999999999994</v>
      </c>
      <c r="K86">
        <v>72.38</v>
      </c>
      <c r="L86">
        <v>4424518</v>
      </c>
      <c r="O86" s="8">
        <v>84</v>
      </c>
      <c r="P86" s="8">
        <f t="shared" si="4"/>
        <v>604.52</v>
      </c>
      <c r="Q86" s="8">
        <f t="shared" si="5"/>
        <v>72.38</v>
      </c>
      <c r="R86" s="21">
        <f t="shared" si="6"/>
        <v>4.5030823681893569E-3</v>
      </c>
      <c r="S86" s="21">
        <f t="shared" si="7"/>
        <v>5.5294442908476694E-4</v>
      </c>
      <c r="T86" s="15">
        <f>simulation!$B$1*((simulation!$B$4*data!R86)+(simulation!$B$5*data!S86))</f>
        <v>292.30271925475211</v>
      </c>
    </row>
    <row r="87" spans="1:20" x14ac:dyDescent="0.3">
      <c r="A87">
        <v>45684.666666666672</v>
      </c>
      <c r="B87">
        <v>594.80999999999995</v>
      </c>
      <c r="C87">
        <v>599.69000000000005</v>
      </c>
      <c r="D87">
        <v>594.64</v>
      </c>
      <c r="E87">
        <v>599.37</v>
      </c>
      <c r="F87">
        <v>70361125</v>
      </c>
      <c r="G87">
        <v>45684.666666666672</v>
      </c>
      <c r="H87">
        <v>72.34</v>
      </c>
      <c r="I87">
        <v>72.44</v>
      </c>
      <c r="J87">
        <v>72.260000000000005</v>
      </c>
      <c r="K87">
        <v>72.42</v>
      </c>
      <c r="L87">
        <v>8621175</v>
      </c>
      <c r="O87" s="8">
        <v>85</v>
      </c>
      <c r="P87" s="8">
        <f t="shared" si="4"/>
        <v>599.37</v>
      </c>
      <c r="Q87" s="8">
        <f t="shared" si="5"/>
        <v>72.42</v>
      </c>
      <c r="R87" s="21">
        <f t="shared" si="6"/>
        <v>-8.5191556937735356E-3</v>
      </c>
      <c r="S87" s="21">
        <f t="shared" si="7"/>
        <v>5.5263885051127734E-4</v>
      </c>
      <c r="T87" s="15">
        <f>simulation!$B$1*((simulation!$B$4*data!R87)+(simulation!$B$5*data!S87))</f>
        <v>-489.04378760596103</v>
      </c>
    </row>
    <row r="88" spans="1:20" x14ac:dyDescent="0.3">
      <c r="A88">
        <v>45681.666666666672</v>
      </c>
      <c r="B88">
        <v>609.80999999999995</v>
      </c>
      <c r="C88">
        <v>610.78</v>
      </c>
      <c r="D88">
        <v>606.79999999999995</v>
      </c>
      <c r="E88">
        <v>607.97</v>
      </c>
      <c r="F88">
        <v>34604693</v>
      </c>
      <c r="G88">
        <v>45681.666666666672</v>
      </c>
      <c r="H88">
        <v>72</v>
      </c>
      <c r="I88">
        <v>72.094300000000004</v>
      </c>
      <c r="J88">
        <v>71.869600000000005</v>
      </c>
      <c r="K88">
        <v>72.040000000000006</v>
      </c>
      <c r="L88">
        <v>5555722</v>
      </c>
      <c r="O88" s="8">
        <v>86</v>
      </c>
      <c r="P88" s="8">
        <f t="shared" si="4"/>
        <v>607.97</v>
      </c>
      <c r="Q88" s="8">
        <f t="shared" si="5"/>
        <v>72.040000000000006</v>
      </c>
      <c r="R88" s="21">
        <f t="shared" si="6"/>
        <v>1.4348399152443436E-2</v>
      </c>
      <c r="S88" s="21">
        <f t="shared" si="7"/>
        <v>-5.2471692902512487E-3</v>
      </c>
      <c r="T88" s="15">
        <f>simulation!$B$1*((simulation!$B$4*data!R88)+(simulation!$B$5*data!S88))</f>
        <v>651.01717753655623</v>
      </c>
    </row>
    <row r="89" spans="1:20" x14ac:dyDescent="0.3">
      <c r="A89">
        <v>45680.666666666672</v>
      </c>
      <c r="B89">
        <v>605.79999999999995</v>
      </c>
      <c r="C89">
        <v>609.75</v>
      </c>
      <c r="D89">
        <v>605.52</v>
      </c>
      <c r="E89">
        <v>609.75</v>
      </c>
      <c r="F89">
        <v>41152102</v>
      </c>
      <c r="G89">
        <v>45680.666666666672</v>
      </c>
      <c r="H89">
        <v>72</v>
      </c>
      <c r="I89">
        <v>72</v>
      </c>
      <c r="J89">
        <v>71.8</v>
      </c>
      <c r="K89">
        <v>71.900000000000006</v>
      </c>
      <c r="L89">
        <v>7529793</v>
      </c>
      <c r="O89" s="8">
        <v>87</v>
      </c>
      <c r="P89" s="8">
        <f t="shared" si="4"/>
        <v>609.75</v>
      </c>
      <c r="Q89" s="8">
        <f t="shared" si="5"/>
        <v>71.900000000000006</v>
      </c>
      <c r="R89" s="21">
        <f t="shared" si="6"/>
        <v>2.9277760415809539E-3</v>
      </c>
      <c r="S89" s="21">
        <f t="shared" si="7"/>
        <v>-1.9433647973348218E-3</v>
      </c>
      <c r="T89" s="15">
        <f>simulation!$B$1*((simulation!$B$4*data!R89)+(simulation!$B$5*data!S89))</f>
        <v>97.931970601464343</v>
      </c>
    </row>
    <row r="90" spans="1:20" x14ac:dyDescent="0.3">
      <c r="A90">
        <v>45679.666666666672</v>
      </c>
      <c r="B90">
        <v>605.91999999999996</v>
      </c>
      <c r="C90">
        <v>607.82000000000005</v>
      </c>
      <c r="D90">
        <v>605.36</v>
      </c>
      <c r="E90">
        <v>606.44000000000005</v>
      </c>
      <c r="F90">
        <v>48195973</v>
      </c>
      <c r="G90">
        <v>45679.666666666672</v>
      </c>
      <c r="H90">
        <v>72.150000000000006</v>
      </c>
      <c r="I90">
        <v>72.2</v>
      </c>
      <c r="J90">
        <v>71.97</v>
      </c>
      <c r="K90">
        <v>72.010000000000005</v>
      </c>
      <c r="L90">
        <v>6616809</v>
      </c>
      <c r="O90" s="8">
        <v>88</v>
      </c>
      <c r="P90" s="8">
        <f t="shared" si="4"/>
        <v>606.44000000000005</v>
      </c>
      <c r="Q90" s="8">
        <f t="shared" si="5"/>
        <v>72.010000000000005</v>
      </c>
      <c r="R90" s="21">
        <f t="shared" si="6"/>
        <v>-5.4284542845427558E-3</v>
      </c>
      <c r="S90" s="21">
        <f t="shared" si="7"/>
        <v>1.5299026425591019E-3</v>
      </c>
      <c r="T90" s="15">
        <f>simulation!$B$1*((simulation!$B$4*data!R90)+(simulation!$B$5*data!S90))</f>
        <v>-264.51115137020128</v>
      </c>
    </row>
    <row r="91" spans="1:20" x14ac:dyDescent="0.3">
      <c r="A91">
        <v>45678.666666666672</v>
      </c>
      <c r="B91">
        <v>600.66999999999996</v>
      </c>
      <c r="C91">
        <v>603.05999999999995</v>
      </c>
      <c r="D91">
        <v>598.66999999999996</v>
      </c>
      <c r="E91">
        <v>603.04999999999995</v>
      </c>
      <c r="F91">
        <v>42532853</v>
      </c>
      <c r="G91">
        <v>45678.666666666672</v>
      </c>
      <c r="H91">
        <v>72.209999999999994</v>
      </c>
      <c r="I91">
        <v>72.209999999999994</v>
      </c>
      <c r="J91">
        <v>72.072500000000005</v>
      </c>
      <c r="K91">
        <v>72.16</v>
      </c>
      <c r="L91">
        <v>8491622</v>
      </c>
      <c r="O91" s="8">
        <v>89</v>
      </c>
      <c r="P91" s="8">
        <f t="shared" si="4"/>
        <v>603.04999999999995</v>
      </c>
      <c r="Q91" s="8">
        <f t="shared" si="5"/>
        <v>72.16</v>
      </c>
      <c r="R91" s="21">
        <f t="shared" si="6"/>
        <v>-5.5900006595872628E-3</v>
      </c>
      <c r="S91" s="21">
        <f t="shared" si="7"/>
        <v>2.0830440216635391E-3</v>
      </c>
      <c r="T91" s="15">
        <f>simulation!$B$1*((simulation!$B$4*data!R91)+(simulation!$B$5*data!S91))</f>
        <v>-252.0782787086942</v>
      </c>
    </row>
    <row r="92" spans="1:20" x14ac:dyDescent="0.3">
      <c r="A92">
        <v>45674.666666666672</v>
      </c>
      <c r="B92">
        <v>596.96</v>
      </c>
      <c r="C92">
        <v>599.36</v>
      </c>
      <c r="D92">
        <v>595.61</v>
      </c>
      <c r="E92">
        <v>597.58000000000004</v>
      </c>
      <c r="F92">
        <v>58070628</v>
      </c>
      <c r="G92">
        <v>45674.666666666672</v>
      </c>
      <c r="H92">
        <v>72.099999999999994</v>
      </c>
      <c r="I92">
        <v>72.099999999999994</v>
      </c>
      <c r="J92">
        <v>71.91</v>
      </c>
      <c r="K92">
        <v>71.95</v>
      </c>
      <c r="L92">
        <v>5600397</v>
      </c>
      <c r="O92" s="8">
        <v>90</v>
      </c>
      <c r="P92" s="8">
        <f t="shared" si="4"/>
        <v>597.58000000000004</v>
      </c>
      <c r="Q92" s="8">
        <f t="shared" si="5"/>
        <v>71.95</v>
      </c>
      <c r="R92" s="21">
        <f t="shared" si="6"/>
        <v>-9.0705579968492073E-3</v>
      </c>
      <c r="S92" s="21">
        <f t="shared" si="7"/>
        <v>-2.9101995565409336E-3</v>
      </c>
      <c r="T92" s="15">
        <f>simulation!$B$1*((simulation!$B$4*data!R92)+(simulation!$B$5*data!S92))</f>
        <v>-660.64146207258977</v>
      </c>
    </row>
    <row r="93" spans="1:20" x14ac:dyDescent="0.3">
      <c r="A93">
        <v>45673.666666666672</v>
      </c>
      <c r="B93">
        <v>594.17499999999995</v>
      </c>
      <c r="C93">
        <v>594.35</v>
      </c>
      <c r="D93">
        <v>590.92999999999995</v>
      </c>
      <c r="E93">
        <v>591.64</v>
      </c>
      <c r="F93">
        <v>43319662</v>
      </c>
      <c r="G93">
        <v>45673.666666666672</v>
      </c>
      <c r="H93">
        <v>71.7</v>
      </c>
      <c r="I93">
        <v>72.03</v>
      </c>
      <c r="J93">
        <v>71.64</v>
      </c>
      <c r="K93">
        <v>71.930000000000007</v>
      </c>
      <c r="L93">
        <v>8494105</v>
      </c>
      <c r="O93" s="8">
        <v>91</v>
      </c>
      <c r="P93" s="8">
        <f t="shared" si="4"/>
        <v>591.64</v>
      </c>
      <c r="Q93" s="8">
        <f t="shared" si="5"/>
        <v>71.930000000000007</v>
      </c>
      <c r="R93" s="21">
        <f t="shared" si="6"/>
        <v>-9.9400917032030096E-3</v>
      </c>
      <c r="S93" s="21">
        <f t="shared" si="7"/>
        <v>-2.7797081306457291E-4</v>
      </c>
      <c r="T93" s="15">
        <f>simulation!$B$1*((simulation!$B$4*data!R93)+(simulation!$B$5*data!S93))</f>
        <v>-607.52433471476343</v>
      </c>
    </row>
    <row r="94" spans="1:20" x14ac:dyDescent="0.3">
      <c r="A94">
        <v>45672.666666666672</v>
      </c>
      <c r="B94">
        <v>590.32500000000005</v>
      </c>
      <c r="C94">
        <v>593.94000000000005</v>
      </c>
      <c r="D94">
        <v>589.19500000000005</v>
      </c>
      <c r="E94">
        <v>592.78</v>
      </c>
      <c r="F94">
        <v>56900159</v>
      </c>
      <c r="G94">
        <v>45672.666666666672</v>
      </c>
      <c r="H94">
        <v>71.599999999999994</v>
      </c>
      <c r="I94">
        <v>71.875</v>
      </c>
      <c r="J94">
        <v>71.599999999999994</v>
      </c>
      <c r="K94">
        <v>71.790000000000006</v>
      </c>
      <c r="L94">
        <v>5867884</v>
      </c>
      <c r="O94" s="8">
        <v>92</v>
      </c>
      <c r="P94" s="8">
        <f t="shared" si="4"/>
        <v>592.78</v>
      </c>
      <c r="Q94" s="8">
        <f t="shared" si="5"/>
        <v>71.790000000000006</v>
      </c>
      <c r="R94" s="21">
        <f t="shared" si="6"/>
        <v>1.9268474072070623E-3</v>
      </c>
      <c r="S94" s="21">
        <f t="shared" si="7"/>
        <v>-1.9463367162519192E-3</v>
      </c>
      <c r="T94" s="15">
        <f>simulation!$B$1*((simulation!$B$4*data!R94)+(simulation!$B$5*data!S94))</f>
        <v>37.757375782346976</v>
      </c>
    </row>
    <row r="95" spans="1:20" x14ac:dyDescent="0.3">
      <c r="A95">
        <v>45671.666666666672</v>
      </c>
      <c r="B95">
        <v>584.36</v>
      </c>
      <c r="C95">
        <v>585</v>
      </c>
      <c r="D95">
        <v>578.35</v>
      </c>
      <c r="E95">
        <v>582.19000000000005</v>
      </c>
      <c r="F95">
        <v>48420580</v>
      </c>
      <c r="G95">
        <v>45671.666666666672</v>
      </c>
      <c r="H95">
        <v>71.150000000000006</v>
      </c>
      <c r="I95">
        <v>71.245199999999997</v>
      </c>
      <c r="J95">
        <v>71.11</v>
      </c>
      <c r="K95">
        <v>71.22</v>
      </c>
      <c r="L95">
        <v>5165979</v>
      </c>
      <c r="O95" s="8">
        <v>93</v>
      </c>
      <c r="P95" s="8">
        <f t="shared" si="4"/>
        <v>582.19000000000005</v>
      </c>
      <c r="Q95" s="8">
        <f t="shared" si="5"/>
        <v>71.22</v>
      </c>
      <c r="R95" s="21">
        <f t="shared" si="6"/>
        <v>-1.7864975201592359E-2</v>
      </c>
      <c r="S95" s="21">
        <f t="shared" si="7"/>
        <v>-7.9398244880903648E-3</v>
      </c>
      <c r="T95" s="15">
        <f>simulation!$B$1*((simulation!$B$4*data!R95)+(simulation!$B$5*data!S95))</f>
        <v>-1389.4914916191562</v>
      </c>
    </row>
    <row r="96" spans="1:20" x14ac:dyDescent="0.3">
      <c r="A96">
        <v>45670.666666666672</v>
      </c>
      <c r="B96">
        <v>575.77</v>
      </c>
      <c r="C96">
        <v>581.75</v>
      </c>
      <c r="D96">
        <v>575.35</v>
      </c>
      <c r="E96">
        <v>581.39</v>
      </c>
      <c r="F96">
        <v>47910060</v>
      </c>
      <c r="G96">
        <v>45670.666666666672</v>
      </c>
      <c r="H96">
        <v>71.239999999999995</v>
      </c>
      <c r="I96">
        <v>71.25</v>
      </c>
      <c r="J96">
        <v>71.1023</v>
      </c>
      <c r="K96">
        <v>71.17</v>
      </c>
      <c r="L96">
        <v>11856578</v>
      </c>
      <c r="O96" s="8">
        <v>94</v>
      </c>
      <c r="P96" s="8">
        <f t="shared" si="4"/>
        <v>581.39</v>
      </c>
      <c r="Q96" s="8">
        <f t="shared" si="5"/>
        <v>71.17</v>
      </c>
      <c r="R96" s="21">
        <f t="shared" si="6"/>
        <v>-1.3741218502551884E-3</v>
      </c>
      <c r="S96" s="21">
        <f t="shared" si="7"/>
        <v>-7.0204998595896036E-4</v>
      </c>
      <c r="T96" s="15">
        <f>simulation!$B$1*((simulation!$B$4*data!R96)+(simulation!$B$5*data!S96))</f>
        <v>-110.52931045366972</v>
      </c>
    </row>
    <row r="97" spans="1:20" x14ac:dyDescent="0.3">
      <c r="A97">
        <v>45667.666666666672</v>
      </c>
      <c r="B97">
        <v>585.88</v>
      </c>
      <c r="C97">
        <v>585.95000000000005</v>
      </c>
      <c r="D97">
        <v>578.54999999999995</v>
      </c>
      <c r="E97">
        <v>580.49</v>
      </c>
      <c r="F97">
        <v>73105046</v>
      </c>
      <c r="G97">
        <v>45667.666666666672</v>
      </c>
      <c r="H97">
        <v>71.739999999999995</v>
      </c>
      <c r="I97">
        <v>71.739999999999995</v>
      </c>
      <c r="J97">
        <v>71.180000000000007</v>
      </c>
      <c r="K97">
        <v>71.239999999999995</v>
      </c>
      <c r="L97">
        <v>9602447</v>
      </c>
      <c r="O97" s="8">
        <v>95</v>
      </c>
      <c r="P97" s="8">
        <f t="shared" si="4"/>
        <v>580.49</v>
      </c>
      <c r="Q97" s="8">
        <f t="shared" si="5"/>
        <v>71.239999999999995</v>
      </c>
      <c r="R97" s="21">
        <f t="shared" si="6"/>
        <v>-1.548014241730985E-3</v>
      </c>
      <c r="S97" s="21">
        <f t="shared" si="7"/>
        <v>9.835604889699757E-4</v>
      </c>
      <c r="T97" s="15">
        <f>simulation!$B$1*((simulation!$B$4*data!R97)+(simulation!$B$5*data!S97))</f>
        <v>-53.538434945060061</v>
      </c>
    </row>
    <row r="98" spans="1:20" x14ac:dyDescent="0.3">
      <c r="A98">
        <v>45665.666666666672</v>
      </c>
      <c r="B98">
        <v>588.70000000000005</v>
      </c>
      <c r="C98">
        <v>590.57989999999995</v>
      </c>
      <c r="D98">
        <v>585.19500000000005</v>
      </c>
      <c r="E98">
        <v>589.49</v>
      </c>
      <c r="F98">
        <v>47304672</v>
      </c>
      <c r="G98">
        <v>45665.666666666672</v>
      </c>
      <c r="H98">
        <v>71.48</v>
      </c>
      <c r="I98">
        <v>71.659899999999993</v>
      </c>
      <c r="J98">
        <v>71.4499</v>
      </c>
      <c r="K98">
        <v>71.61</v>
      </c>
      <c r="L98">
        <v>5844375</v>
      </c>
      <c r="O98" s="8">
        <v>96</v>
      </c>
      <c r="P98" s="8">
        <f t="shared" si="4"/>
        <v>589.49</v>
      </c>
      <c r="Q98" s="8">
        <f t="shared" si="5"/>
        <v>71.61</v>
      </c>
      <c r="R98" s="21">
        <f t="shared" si="6"/>
        <v>1.5504143051559888E-2</v>
      </c>
      <c r="S98" s="21">
        <f t="shared" si="7"/>
        <v>5.1937113980910247E-3</v>
      </c>
      <c r="T98" s="15">
        <f>simulation!$B$1*((simulation!$B$4*data!R98)+(simulation!$B$5*data!S98))</f>
        <v>1137.9970390172341</v>
      </c>
    </row>
    <row r="99" spans="1:20" x14ac:dyDescent="0.3">
      <c r="A99">
        <v>45664.666666666672</v>
      </c>
      <c r="B99">
        <v>597.41999999999996</v>
      </c>
      <c r="C99">
        <v>597.75</v>
      </c>
      <c r="D99">
        <v>586.78</v>
      </c>
      <c r="E99">
        <v>588.63</v>
      </c>
      <c r="F99">
        <v>60393052</v>
      </c>
      <c r="G99">
        <v>45664.666666666672</v>
      </c>
      <c r="H99">
        <v>71.724999999999994</v>
      </c>
      <c r="I99">
        <v>71.765000000000001</v>
      </c>
      <c r="J99">
        <v>71.44</v>
      </c>
      <c r="K99">
        <v>71.53</v>
      </c>
      <c r="L99">
        <v>7875935</v>
      </c>
      <c r="O99" s="8">
        <v>97</v>
      </c>
      <c r="P99" s="8">
        <f t="shared" si="4"/>
        <v>588.63</v>
      </c>
      <c r="Q99" s="8">
        <f t="shared" si="5"/>
        <v>71.53</v>
      </c>
      <c r="R99" s="21">
        <f t="shared" si="6"/>
        <v>-1.4588881914875801E-3</v>
      </c>
      <c r="S99" s="21">
        <f t="shared" si="7"/>
        <v>-1.1171624074849643E-3</v>
      </c>
      <c r="T99" s="15">
        <f>simulation!$B$1*((simulation!$B$4*data!R99)+(simulation!$B$5*data!S99))</f>
        <v>-132.21978778865338</v>
      </c>
    </row>
    <row r="100" spans="1:20" x14ac:dyDescent="0.3">
      <c r="A100">
        <v>45663.666666666672</v>
      </c>
      <c r="B100">
        <v>596.27</v>
      </c>
      <c r="C100">
        <v>599.70000000000005</v>
      </c>
      <c r="D100">
        <v>593.6</v>
      </c>
      <c r="E100">
        <v>595.36</v>
      </c>
      <c r="F100">
        <v>47679442</v>
      </c>
      <c r="G100">
        <v>45663.666666666672</v>
      </c>
      <c r="H100">
        <v>71.78</v>
      </c>
      <c r="I100">
        <v>71.88</v>
      </c>
      <c r="J100">
        <v>71.7</v>
      </c>
      <c r="K100">
        <v>71.78</v>
      </c>
      <c r="L100">
        <v>5375718</v>
      </c>
      <c r="O100" s="8">
        <v>98</v>
      </c>
      <c r="P100" s="8">
        <f t="shared" si="4"/>
        <v>595.36</v>
      </c>
      <c r="Q100" s="8">
        <f t="shared" si="5"/>
        <v>71.78</v>
      </c>
      <c r="R100" s="21">
        <f t="shared" si="6"/>
        <v>1.143332823675317E-2</v>
      </c>
      <c r="S100" s="21">
        <f t="shared" si="7"/>
        <v>3.4950370473927025E-3</v>
      </c>
      <c r="T100" s="15">
        <f>simulation!$B$1*((simulation!$B$4*data!R100)+(simulation!$B$5*data!S100))</f>
        <v>825.80117610089826</v>
      </c>
    </row>
    <row r="101" spans="1:20" x14ac:dyDescent="0.3">
      <c r="A101">
        <v>45660.666666666672</v>
      </c>
      <c r="B101">
        <v>587.53</v>
      </c>
      <c r="C101">
        <v>592.6</v>
      </c>
      <c r="D101">
        <v>586.42999999999995</v>
      </c>
      <c r="E101">
        <v>591.95000000000005</v>
      </c>
      <c r="F101">
        <v>37888459</v>
      </c>
      <c r="G101">
        <v>45660.666666666672</v>
      </c>
      <c r="H101">
        <v>71.97</v>
      </c>
      <c r="I101">
        <v>72.063000000000002</v>
      </c>
      <c r="J101">
        <v>71.83</v>
      </c>
      <c r="K101">
        <v>71.849999999999994</v>
      </c>
      <c r="L101">
        <v>6857104</v>
      </c>
      <c r="O101" s="8">
        <v>99</v>
      </c>
      <c r="P101" s="8">
        <f t="shared" si="4"/>
        <v>591.95000000000005</v>
      </c>
      <c r="Q101" s="8">
        <f t="shared" si="5"/>
        <v>71.849999999999994</v>
      </c>
      <c r="R101" s="21">
        <f t="shared" si="6"/>
        <v>-5.7276269819940342E-3</v>
      </c>
      <c r="S101" s="21">
        <f t="shared" si="7"/>
        <v>9.7520200612974612E-4</v>
      </c>
      <c r="T101" s="15">
        <f>simulation!$B$1*((simulation!$B$4*data!R101)+(simulation!$B$5*data!S101))</f>
        <v>-304.64953867445217</v>
      </c>
    </row>
    <row r="102" spans="1:20" x14ac:dyDescent="0.3">
      <c r="A102">
        <v>45659.666666666672</v>
      </c>
      <c r="B102">
        <v>589.39</v>
      </c>
      <c r="C102">
        <v>591.13</v>
      </c>
      <c r="D102">
        <v>580.5</v>
      </c>
      <c r="E102">
        <v>584.64</v>
      </c>
      <c r="F102">
        <v>50203975</v>
      </c>
      <c r="G102">
        <v>45659.666666666672</v>
      </c>
      <c r="H102">
        <v>72.19</v>
      </c>
      <c r="I102">
        <v>72.19</v>
      </c>
      <c r="J102">
        <v>71.849999999999994</v>
      </c>
      <c r="K102">
        <v>71.94</v>
      </c>
      <c r="L102">
        <v>8055702</v>
      </c>
      <c r="O102" s="8">
        <v>100</v>
      </c>
      <c r="P102" s="8">
        <f t="shared" si="4"/>
        <v>584.64</v>
      </c>
      <c r="Q102" s="8">
        <f t="shared" si="5"/>
        <v>71.94</v>
      </c>
      <c r="R102" s="21">
        <f t="shared" si="6"/>
        <v>-1.2349015964186263E-2</v>
      </c>
      <c r="S102" s="21">
        <f t="shared" si="7"/>
        <v>1.2526096033403399E-3</v>
      </c>
      <c r="T102" s="15">
        <f>simulation!$B$1*((simulation!$B$4*data!R102)+(simulation!$B$5*data!S102))</f>
        <v>-690.83657371756226</v>
      </c>
    </row>
    <row r="103" spans="1:20" x14ac:dyDescent="0.3">
      <c r="A103">
        <v>45657.666666666672</v>
      </c>
      <c r="B103">
        <v>589.90499999999997</v>
      </c>
      <c r="C103">
        <v>590.63990000000001</v>
      </c>
      <c r="D103">
        <v>584.41999999999996</v>
      </c>
      <c r="E103">
        <v>586.08000000000004</v>
      </c>
      <c r="F103">
        <v>57052654</v>
      </c>
      <c r="G103">
        <v>45657.666666666672</v>
      </c>
      <c r="H103">
        <v>72.09</v>
      </c>
      <c r="I103">
        <v>72.17</v>
      </c>
      <c r="J103">
        <v>71.875</v>
      </c>
      <c r="K103">
        <v>71.91</v>
      </c>
      <c r="L103">
        <v>8724265</v>
      </c>
      <c r="O103" s="8">
        <v>101</v>
      </c>
      <c r="P103" s="8">
        <f t="shared" si="4"/>
        <v>586.08000000000004</v>
      </c>
      <c r="Q103" s="8">
        <f t="shared" si="5"/>
        <v>71.91</v>
      </c>
      <c r="R103" s="21">
        <f t="shared" si="6"/>
        <v>2.4630541871922115E-3</v>
      </c>
      <c r="S103" s="21">
        <f t="shared" si="7"/>
        <v>-4.170141784820842E-4</v>
      </c>
      <c r="T103" s="15">
        <f>simulation!$B$1*((simulation!$B$4*data!R103)+(simulation!$B$5*data!S103))</f>
        <v>131.10268409224929</v>
      </c>
    </row>
    <row r="104" spans="1:20" x14ac:dyDescent="0.3">
      <c r="A104">
        <v>45656.666666666672</v>
      </c>
      <c r="B104">
        <v>587.89</v>
      </c>
      <c r="C104">
        <v>591.74</v>
      </c>
      <c r="D104">
        <v>584.41</v>
      </c>
      <c r="E104">
        <v>588.22</v>
      </c>
      <c r="F104">
        <v>56578757</v>
      </c>
      <c r="G104">
        <v>45656.666666666672</v>
      </c>
      <c r="H104">
        <v>71.900000000000006</v>
      </c>
      <c r="I104">
        <v>72.079899999999995</v>
      </c>
      <c r="J104">
        <v>71.900000000000006</v>
      </c>
      <c r="K104">
        <v>72.03</v>
      </c>
      <c r="L104">
        <v>8054495</v>
      </c>
      <c r="O104" s="8">
        <v>102</v>
      </c>
      <c r="P104" s="8">
        <f t="shared" si="4"/>
        <v>588.22</v>
      </c>
      <c r="Q104" s="8">
        <f t="shared" si="5"/>
        <v>72.03</v>
      </c>
      <c r="R104" s="21">
        <f t="shared" si="6"/>
        <v>3.6513786513786279E-3</v>
      </c>
      <c r="S104" s="21">
        <f t="shared" si="7"/>
        <v>1.6687526074260124E-3</v>
      </c>
      <c r="T104" s="15">
        <f>simulation!$B$1*((simulation!$B$4*data!R104)+(simulation!$B$5*data!S104))</f>
        <v>285.83282337975817</v>
      </c>
    </row>
    <row r="105" spans="1:20" x14ac:dyDescent="0.3">
      <c r="A105">
        <v>45653.666666666672</v>
      </c>
      <c r="B105">
        <v>597.54</v>
      </c>
      <c r="C105">
        <v>597.77610000000004</v>
      </c>
      <c r="D105">
        <v>590.76469999999995</v>
      </c>
      <c r="E105">
        <v>595.01</v>
      </c>
      <c r="F105">
        <v>64969310</v>
      </c>
      <c r="G105">
        <v>45653.666666666672</v>
      </c>
      <c r="H105">
        <v>71.89</v>
      </c>
      <c r="I105">
        <v>71.929000000000002</v>
      </c>
      <c r="J105">
        <v>71.739999999999995</v>
      </c>
      <c r="K105">
        <v>71.75</v>
      </c>
      <c r="L105">
        <v>9019079</v>
      </c>
      <c r="O105" s="8">
        <v>103</v>
      </c>
      <c r="P105" s="8">
        <f t="shared" si="4"/>
        <v>595.01</v>
      </c>
      <c r="Q105" s="8">
        <f t="shared" si="5"/>
        <v>71.75</v>
      </c>
      <c r="R105" s="21">
        <f t="shared" si="6"/>
        <v>1.1543300125803209E-2</v>
      </c>
      <c r="S105" s="21">
        <f t="shared" si="7"/>
        <v>-3.8872691933916582E-3</v>
      </c>
      <c r="T105" s="15">
        <f>simulation!$B$1*((simulation!$B$4*data!R105)+(simulation!$B$5*data!S105))</f>
        <v>537.10723981252625</v>
      </c>
    </row>
    <row r="106" spans="1:20" x14ac:dyDescent="0.3">
      <c r="A106">
        <v>45652.666666666672</v>
      </c>
      <c r="B106">
        <v>599.5</v>
      </c>
      <c r="C106">
        <v>602.48</v>
      </c>
      <c r="D106">
        <v>598.08249999999998</v>
      </c>
      <c r="E106">
        <v>601.34</v>
      </c>
      <c r="F106">
        <v>41338891</v>
      </c>
      <c r="G106">
        <v>45652.666666666672</v>
      </c>
      <c r="H106">
        <v>71.63</v>
      </c>
      <c r="I106">
        <v>71.92</v>
      </c>
      <c r="J106">
        <v>71.63</v>
      </c>
      <c r="K106">
        <v>71.900000000000006</v>
      </c>
      <c r="L106">
        <v>8714524</v>
      </c>
      <c r="O106" s="8">
        <v>104</v>
      </c>
      <c r="P106" s="8">
        <f t="shared" si="4"/>
        <v>601.34</v>
      </c>
      <c r="Q106" s="8">
        <f t="shared" si="5"/>
        <v>71.900000000000006</v>
      </c>
      <c r="R106" s="21">
        <f t="shared" si="6"/>
        <v>1.0638476664257813E-2</v>
      </c>
      <c r="S106" s="21">
        <f t="shared" si="7"/>
        <v>2.0905923344948529E-3</v>
      </c>
      <c r="T106" s="15">
        <f>simulation!$B$1*((simulation!$B$4*data!R106)+(simulation!$B$5*data!S106))</f>
        <v>721.93229323526293</v>
      </c>
    </row>
    <row r="107" spans="1:20" x14ac:dyDescent="0.3">
      <c r="A107">
        <v>45650.666666666672</v>
      </c>
      <c r="B107">
        <v>596.05999999999995</v>
      </c>
      <c r="C107">
        <v>601.34</v>
      </c>
      <c r="D107">
        <v>595.47</v>
      </c>
      <c r="E107">
        <v>601.29999999999995</v>
      </c>
      <c r="F107">
        <v>33160097</v>
      </c>
      <c r="G107">
        <v>45650.666666666672</v>
      </c>
      <c r="H107">
        <v>71.650099999999995</v>
      </c>
      <c r="I107">
        <v>71.849999999999994</v>
      </c>
      <c r="J107">
        <v>71.62</v>
      </c>
      <c r="K107">
        <v>71.849999999999994</v>
      </c>
      <c r="L107">
        <v>4185260</v>
      </c>
      <c r="O107" s="8">
        <v>105</v>
      </c>
      <c r="P107" s="8">
        <f t="shared" si="4"/>
        <v>601.29999999999995</v>
      </c>
      <c r="Q107" s="8">
        <f t="shared" si="5"/>
        <v>71.849999999999994</v>
      </c>
      <c r="R107" s="21">
        <f t="shared" si="6"/>
        <v>-6.6518109555454988E-5</v>
      </c>
      <c r="S107" s="21">
        <f t="shared" si="7"/>
        <v>-6.9541029207248071E-4</v>
      </c>
      <c r="T107" s="15">
        <f>simulation!$B$1*((simulation!$B$4*data!R107)+(simulation!$B$5*data!S107))</f>
        <v>-31.807498256226527</v>
      </c>
    </row>
    <row r="108" spans="1:20" x14ac:dyDescent="0.3">
      <c r="A108">
        <v>45649.666666666672</v>
      </c>
      <c r="B108">
        <v>590.89</v>
      </c>
      <c r="C108">
        <v>595.29999999999995</v>
      </c>
      <c r="D108">
        <v>587.66099999999994</v>
      </c>
      <c r="E108">
        <v>594.69000000000005</v>
      </c>
      <c r="F108">
        <v>57635828</v>
      </c>
      <c r="G108">
        <v>45649.666666666672</v>
      </c>
      <c r="H108">
        <v>72.13</v>
      </c>
      <c r="I108">
        <v>72.209999999999994</v>
      </c>
      <c r="J108">
        <v>71.9435</v>
      </c>
      <c r="K108">
        <v>71.98</v>
      </c>
      <c r="L108">
        <v>7605461</v>
      </c>
      <c r="O108" s="8">
        <v>106</v>
      </c>
      <c r="P108" s="8">
        <f t="shared" si="4"/>
        <v>594.69000000000005</v>
      </c>
      <c r="Q108" s="8">
        <f t="shared" si="5"/>
        <v>71.98</v>
      </c>
      <c r="R108" s="21">
        <f t="shared" si="6"/>
        <v>-1.0992848827540164E-2</v>
      </c>
      <c r="S108" s="21">
        <f t="shared" si="7"/>
        <v>1.809324982602779E-3</v>
      </c>
      <c r="T108" s="15">
        <f>simulation!$B$1*((simulation!$B$4*data!R108)+(simulation!$B$5*data!S108))</f>
        <v>-587.19793034829877</v>
      </c>
    </row>
    <row r="109" spans="1:20" x14ac:dyDescent="0.3">
      <c r="A109">
        <v>45646.666666666672</v>
      </c>
      <c r="B109">
        <v>581.77</v>
      </c>
      <c r="C109">
        <v>595.75</v>
      </c>
      <c r="D109">
        <v>580.91</v>
      </c>
      <c r="E109">
        <v>591.15</v>
      </c>
      <c r="F109">
        <v>125716674</v>
      </c>
      <c r="G109">
        <v>45646.666666666672</v>
      </c>
      <c r="H109">
        <v>72.3</v>
      </c>
      <c r="I109">
        <v>72.405000000000001</v>
      </c>
      <c r="J109">
        <v>72.19</v>
      </c>
      <c r="K109">
        <v>72.209999999999994</v>
      </c>
      <c r="L109">
        <v>6696387</v>
      </c>
      <c r="O109" s="8">
        <v>107</v>
      </c>
      <c r="P109" s="8">
        <f t="shared" si="4"/>
        <v>591.15</v>
      </c>
      <c r="Q109" s="8">
        <f t="shared" si="5"/>
        <v>72.209999999999994</v>
      </c>
      <c r="R109" s="21">
        <f t="shared" si="6"/>
        <v>-5.9526812288756784E-3</v>
      </c>
      <c r="S109" s="21">
        <f t="shared" si="7"/>
        <v>3.1953320366767124E-3</v>
      </c>
      <c r="T109" s="15">
        <f>simulation!$B$1*((simulation!$B$4*data!R109)+(simulation!$B$5*data!S109))</f>
        <v>-229.34759226547217</v>
      </c>
    </row>
    <row r="110" spans="1:20" x14ac:dyDescent="0.3">
      <c r="A110">
        <v>45645.666666666672</v>
      </c>
      <c r="B110">
        <v>591.36</v>
      </c>
      <c r="C110">
        <v>593</v>
      </c>
      <c r="D110">
        <v>585.85</v>
      </c>
      <c r="E110">
        <v>586.1</v>
      </c>
      <c r="F110">
        <v>85919452</v>
      </c>
      <c r="G110">
        <v>45645.666666666672</v>
      </c>
      <c r="H110">
        <v>72.040000000000006</v>
      </c>
      <c r="I110">
        <v>72.12</v>
      </c>
      <c r="J110">
        <v>71.88</v>
      </c>
      <c r="K110">
        <v>71.989999999999995</v>
      </c>
      <c r="L110">
        <v>7672820</v>
      </c>
      <c r="O110" s="8">
        <v>108</v>
      </c>
      <c r="P110" s="8">
        <f t="shared" si="4"/>
        <v>586.1</v>
      </c>
      <c r="Q110" s="8">
        <f t="shared" si="5"/>
        <v>71.989999999999995</v>
      </c>
      <c r="R110" s="21">
        <f t="shared" si="6"/>
        <v>-8.5426710648734746E-3</v>
      </c>
      <c r="S110" s="21">
        <f t="shared" si="7"/>
        <v>-3.0466694363661386E-3</v>
      </c>
      <c r="T110" s="15">
        <f>simulation!$B$1*((simulation!$B$4*data!R110)+(simulation!$B$5*data!S110))</f>
        <v>-634.427041347054</v>
      </c>
    </row>
    <row r="111" spans="1:20" x14ac:dyDescent="0.3">
      <c r="A111">
        <v>45644.666666666672</v>
      </c>
      <c r="B111">
        <v>603.98</v>
      </c>
      <c r="C111">
        <v>606.40499999999997</v>
      </c>
      <c r="D111">
        <v>585.89</v>
      </c>
      <c r="E111">
        <v>586.28</v>
      </c>
      <c r="F111">
        <v>108248729</v>
      </c>
      <c r="G111">
        <v>45644.666666666672</v>
      </c>
      <c r="H111">
        <v>72.760000000000005</v>
      </c>
      <c r="I111">
        <v>72.819999999999993</v>
      </c>
      <c r="J111">
        <v>72.180000000000007</v>
      </c>
      <c r="K111">
        <v>72.19</v>
      </c>
      <c r="L111">
        <v>7962662</v>
      </c>
      <c r="O111" s="8">
        <v>109</v>
      </c>
      <c r="P111" s="8">
        <f t="shared" si="4"/>
        <v>586.28</v>
      </c>
      <c r="Q111" s="8">
        <f t="shared" si="5"/>
        <v>72.19</v>
      </c>
      <c r="R111" s="21">
        <f t="shared" si="6"/>
        <v>3.071148268212762E-4</v>
      </c>
      <c r="S111" s="21">
        <f t="shared" si="7"/>
        <v>2.7781636338380729E-3</v>
      </c>
      <c r="T111" s="15">
        <f>simulation!$B$1*((simulation!$B$4*data!R111)+(simulation!$B$5*data!S111))</f>
        <v>129.55343496279951</v>
      </c>
    </row>
    <row r="112" spans="1:20" x14ac:dyDescent="0.3">
      <c r="A112">
        <v>45643.666666666672</v>
      </c>
      <c r="B112">
        <v>604.19000000000005</v>
      </c>
      <c r="C112">
        <v>605.16999999999996</v>
      </c>
      <c r="D112">
        <v>602.88499999999999</v>
      </c>
      <c r="E112">
        <v>604.29</v>
      </c>
      <c r="F112">
        <v>55773545</v>
      </c>
      <c r="G112">
        <v>45643.666666666672</v>
      </c>
      <c r="H112">
        <v>72.739999999999995</v>
      </c>
      <c r="I112">
        <v>72.84</v>
      </c>
      <c r="J112">
        <v>72.709999999999994</v>
      </c>
      <c r="K112">
        <v>72.760000000000005</v>
      </c>
      <c r="L112">
        <v>6084864</v>
      </c>
      <c r="O112" s="8">
        <v>110</v>
      </c>
      <c r="P112" s="8">
        <f t="shared" si="4"/>
        <v>604.29</v>
      </c>
      <c r="Q112" s="8">
        <f t="shared" si="5"/>
        <v>72.760000000000005</v>
      </c>
      <c r="R112" s="21">
        <f t="shared" si="6"/>
        <v>3.0719110322712684E-2</v>
      </c>
      <c r="S112" s="21">
        <f t="shared" si="7"/>
        <v>7.8958304474304949E-3</v>
      </c>
      <c r="T112" s="15">
        <f>simulation!$B$1*((simulation!$B$4*data!R112)+(simulation!$B$5*data!S112))</f>
        <v>2158.9798372599807</v>
      </c>
    </row>
    <row r="113" spans="1:20" x14ac:dyDescent="0.3">
      <c r="A113">
        <v>45642.666666666672</v>
      </c>
      <c r="B113">
        <v>606</v>
      </c>
      <c r="C113">
        <v>607.77949999999998</v>
      </c>
      <c r="D113">
        <v>605.21</v>
      </c>
      <c r="E113">
        <v>606.79</v>
      </c>
      <c r="F113">
        <v>43695179</v>
      </c>
      <c r="G113">
        <v>45642.666666666672</v>
      </c>
      <c r="H113">
        <v>72.75</v>
      </c>
      <c r="I113">
        <v>72.888999999999996</v>
      </c>
      <c r="J113">
        <v>72.650000000000006</v>
      </c>
      <c r="K113">
        <v>72.75</v>
      </c>
      <c r="L113">
        <v>7871304</v>
      </c>
      <c r="O113" s="8">
        <v>111</v>
      </c>
      <c r="P113" s="8">
        <f t="shared" si="4"/>
        <v>606.79</v>
      </c>
      <c r="Q113" s="8">
        <f t="shared" si="5"/>
        <v>72.75</v>
      </c>
      <c r="R113" s="21">
        <f t="shared" si="6"/>
        <v>4.1370864982045044E-3</v>
      </c>
      <c r="S113" s="21">
        <f t="shared" si="7"/>
        <v>-1.3743815283129624E-4</v>
      </c>
      <c r="T113" s="15">
        <f>simulation!$B$1*((simulation!$B$4*data!R113)+(simulation!$B$5*data!S113))</f>
        <v>242.72766377901843</v>
      </c>
    </row>
    <row r="114" spans="1:20" x14ac:dyDescent="0.3">
      <c r="A114">
        <v>45639.666666666672</v>
      </c>
      <c r="B114">
        <v>606.4</v>
      </c>
      <c r="C114">
        <v>607.13</v>
      </c>
      <c r="D114">
        <v>602.80999999999995</v>
      </c>
      <c r="E114">
        <v>604.21</v>
      </c>
      <c r="F114">
        <v>35904730</v>
      </c>
      <c r="G114">
        <v>45639.666666666672</v>
      </c>
      <c r="H114">
        <v>72.91</v>
      </c>
      <c r="I114">
        <v>72.91</v>
      </c>
      <c r="J114">
        <v>72.64</v>
      </c>
      <c r="K114">
        <v>72.67</v>
      </c>
      <c r="L114">
        <v>5171363</v>
      </c>
      <c r="O114" s="8">
        <v>112</v>
      </c>
      <c r="P114" s="8">
        <f t="shared" si="4"/>
        <v>604.21</v>
      </c>
      <c r="Q114" s="8">
        <f t="shared" si="5"/>
        <v>72.67</v>
      </c>
      <c r="R114" s="21">
        <f t="shared" si="6"/>
        <v>-4.251882858979099E-3</v>
      </c>
      <c r="S114" s="21">
        <f t="shared" si="7"/>
        <v>-1.0996563573882926E-3</v>
      </c>
      <c r="T114" s="15">
        <f>simulation!$B$1*((simulation!$B$4*data!R114)+(simulation!$B$5*data!S114))</f>
        <v>-299.09922583427766</v>
      </c>
    </row>
    <row r="115" spans="1:20" x14ac:dyDescent="0.3">
      <c r="A115">
        <v>45638.666666666672</v>
      </c>
      <c r="B115">
        <v>606.58000000000004</v>
      </c>
      <c r="C115">
        <v>607.16</v>
      </c>
      <c r="D115">
        <v>604.33000000000004</v>
      </c>
      <c r="E115">
        <v>604.33000000000004</v>
      </c>
      <c r="F115">
        <v>31543812</v>
      </c>
      <c r="G115">
        <v>45638.666666666672</v>
      </c>
      <c r="H115">
        <v>73.010000000000005</v>
      </c>
      <c r="I115">
        <v>73.209999999999994</v>
      </c>
      <c r="J115">
        <v>72.930099999999996</v>
      </c>
      <c r="K115">
        <v>72.959999999999994</v>
      </c>
      <c r="L115">
        <v>6880556</v>
      </c>
      <c r="O115" s="8">
        <v>113</v>
      </c>
      <c r="P115" s="8">
        <f t="shared" si="4"/>
        <v>604.33000000000004</v>
      </c>
      <c r="Q115" s="8">
        <f t="shared" si="5"/>
        <v>72.959999999999994</v>
      </c>
      <c r="R115" s="21">
        <f t="shared" si="6"/>
        <v>1.9860644477914059E-4</v>
      </c>
      <c r="S115" s="21">
        <f t="shared" si="7"/>
        <v>3.9906426310718597E-3</v>
      </c>
      <c r="T115" s="15">
        <f>simulation!$B$1*((simulation!$B$4*data!R115)+(simulation!$B$5*data!S115))</f>
        <v>171.54209192962281</v>
      </c>
    </row>
    <row r="116" spans="1:20" x14ac:dyDescent="0.3">
      <c r="A116">
        <v>45637.666666666672</v>
      </c>
      <c r="B116">
        <v>605.78</v>
      </c>
      <c r="C116">
        <v>608.43499999999995</v>
      </c>
      <c r="D116">
        <v>605.5</v>
      </c>
      <c r="E116">
        <v>607.46</v>
      </c>
      <c r="F116">
        <v>28677723</v>
      </c>
      <c r="G116">
        <v>45637.666666666672</v>
      </c>
      <c r="H116">
        <v>73.59</v>
      </c>
      <c r="I116">
        <v>73.591300000000004</v>
      </c>
      <c r="J116">
        <v>73.224199999999996</v>
      </c>
      <c r="K116">
        <v>73.25</v>
      </c>
      <c r="L116">
        <v>4642930</v>
      </c>
      <c r="O116" s="8">
        <v>114</v>
      </c>
      <c r="P116" s="8">
        <f t="shared" si="4"/>
        <v>607.46</v>
      </c>
      <c r="Q116" s="8">
        <f t="shared" si="5"/>
        <v>73.25</v>
      </c>
      <c r="R116" s="21">
        <f t="shared" si="6"/>
        <v>5.1792894610560381E-3</v>
      </c>
      <c r="S116" s="21">
        <f t="shared" si="7"/>
        <v>3.974780701754472E-3</v>
      </c>
      <c r="T116" s="15">
        <f>simulation!$B$1*((simulation!$B$4*data!R116)+(simulation!$B$5*data!S116))</f>
        <v>469.74859573354121</v>
      </c>
    </row>
    <row r="117" spans="1:20" x14ac:dyDescent="0.3">
      <c r="A117">
        <v>45636.666666666672</v>
      </c>
      <c r="B117">
        <v>605.37</v>
      </c>
      <c r="C117">
        <v>605.79999999999995</v>
      </c>
      <c r="D117">
        <v>602.13</v>
      </c>
      <c r="E117">
        <v>602.79999999999995</v>
      </c>
      <c r="F117">
        <v>37234515</v>
      </c>
      <c r="G117">
        <v>45636.666666666672</v>
      </c>
      <c r="H117">
        <v>73.38</v>
      </c>
      <c r="I117">
        <v>73.469899999999996</v>
      </c>
      <c r="J117">
        <v>73.324600000000004</v>
      </c>
      <c r="K117">
        <v>73.41</v>
      </c>
      <c r="L117">
        <v>5751914</v>
      </c>
      <c r="O117" s="8">
        <v>115</v>
      </c>
      <c r="P117" s="8">
        <f t="shared" si="4"/>
        <v>602.79999999999995</v>
      </c>
      <c r="Q117" s="8">
        <f t="shared" si="5"/>
        <v>73.41</v>
      </c>
      <c r="R117" s="21">
        <f t="shared" si="6"/>
        <v>-7.6712869983210112E-3</v>
      </c>
      <c r="S117" s="21">
        <f t="shared" si="7"/>
        <v>2.1843003412968819E-3</v>
      </c>
      <c r="T117" s="15">
        <f>simulation!$B$1*((simulation!$B$4*data!R117)+(simulation!$B$5*data!S117))</f>
        <v>-372.90520624738542</v>
      </c>
    </row>
    <row r="118" spans="1:20" x14ac:dyDescent="0.3">
      <c r="A118">
        <v>45635.666666666672</v>
      </c>
      <c r="B118">
        <v>607.69000000000005</v>
      </c>
      <c r="C118">
        <v>607.86</v>
      </c>
      <c r="D118">
        <v>604.08000000000004</v>
      </c>
      <c r="E118">
        <v>604.67999999999995</v>
      </c>
      <c r="F118">
        <v>34742738</v>
      </c>
      <c r="G118">
        <v>45635.666666666672</v>
      </c>
      <c r="H118">
        <v>73.650000000000006</v>
      </c>
      <c r="I118">
        <v>73.650000000000006</v>
      </c>
      <c r="J118">
        <v>73.47</v>
      </c>
      <c r="K118">
        <v>73.489999999999995</v>
      </c>
      <c r="L118">
        <v>5432983</v>
      </c>
      <c r="O118" s="8">
        <v>116</v>
      </c>
      <c r="P118" s="8">
        <f t="shared" si="4"/>
        <v>604.67999999999995</v>
      </c>
      <c r="Q118" s="8">
        <f t="shared" si="5"/>
        <v>73.489999999999995</v>
      </c>
      <c r="R118" s="21">
        <f t="shared" si="6"/>
        <v>3.1187790311877832E-3</v>
      </c>
      <c r="S118" s="21">
        <f t="shared" si="7"/>
        <v>1.0897697861326563E-3</v>
      </c>
      <c r="T118" s="15">
        <f>simulation!$B$1*((simulation!$B$4*data!R118)+(simulation!$B$5*data!S118))</f>
        <v>230.71753331657322</v>
      </c>
    </row>
    <row r="119" spans="1:20" x14ac:dyDescent="0.3">
      <c r="A119">
        <v>45632.666666666672</v>
      </c>
      <c r="B119">
        <v>607.44000000000005</v>
      </c>
      <c r="C119">
        <v>609.07000000000005</v>
      </c>
      <c r="D119">
        <v>607.02</v>
      </c>
      <c r="E119">
        <v>607.80999999999995</v>
      </c>
      <c r="F119">
        <v>31241549</v>
      </c>
      <c r="G119">
        <v>45632.666666666672</v>
      </c>
      <c r="H119">
        <v>73.73</v>
      </c>
      <c r="I119">
        <v>73.790199999999999</v>
      </c>
      <c r="J119">
        <v>73.569999999999993</v>
      </c>
      <c r="K119">
        <v>73.709999999999994</v>
      </c>
      <c r="L119">
        <v>4880791</v>
      </c>
      <c r="O119" s="8">
        <v>117</v>
      </c>
      <c r="P119" s="8">
        <f t="shared" si="4"/>
        <v>607.80999999999995</v>
      </c>
      <c r="Q119" s="8">
        <f t="shared" si="5"/>
        <v>73.709999999999994</v>
      </c>
      <c r="R119" s="21">
        <f t="shared" si="6"/>
        <v>5.1762915922471319E-3</v>
      </c>
      <c r="S119" s="21">
        <f t="shared" si="7"/>
        <v>2.9936045720506039E-3</v>
      </c>
      <c r="T119" s="15">
        <f>simulation!$B$1*((simulation!$B$4*data!R119)+(simulation!$B$5*data!S119))</f>
        <v>430.32167841685202</v>
      </c>
    </row>
    <row r="120" spans="1:20" x14ac:dyDescent="0.3">
      <c r="A120">
        <v>45631.666666666672</v>
      </c>
      <c r="B120">
        <v>607.66</v>
      </c>
      <c r="C120">
        <v>608.48</v>
      </c>
      <c r="D120">
        <v>606.30499999999995</v>
      </c>
      <c r="E120">
        <v>606.66</v>
      </c>
      <c r="F120">
        <v>28762183</v>
      </c>
      <c r="G120">
        <v>45631.666666666672</v>
      </c>
      <c r="H120">
        <v>73.38</v>
      </c>
      <c r="I120">
        <v>73.56</v>
      </c>
      <c r="J120">
        <v>73.350300000000004</v>
      </c>
      <c r="K120">
        <v>73.510000000000005</v>
      </c>
      <c r="L120">
        <v>6146443</v>
      </c>
      <c r="O120" s="8">
        <v>118</v>
      </c>
      <c r="P120" s="8">
        <f t="shared" si="4"/>
        <v>606.66</v>
      </c>
      <c r="Q120" s="8">
        <f t="shared" si="5"/>
        <v>73.510000000000005</v>
      </c>
      <c r="R120" s="21">
        <f t="shared" si="6"/>
        <v>-1.8920386304930445E-3</v>
      </c>
      <c r="S120" s="21">
        <f t="shared" si="7"/>
        <v>-2.713336046669226E-3</v>
      </c>
      <c r="T120" s="15">
        <f>simulation!$B$1*((simulation!$B$4*data!R120)+(simulation!$B$5*data!S120))</f>
        <v>-222.05575969635169</v>
      </c>
    </row>
    <row r="121" spans="1:20" x14ac:dyDescent="0.3">
      <c r="A121">
        <v>45630.666666666672</v>
      </c>
      <c r="B121">
        <v>605.63</v>
      </c>
      <c r="C121">
        <v>607.91</v>
      </c>
      <c r="D121">
        <v>604.95000000000005</v>
      </c>
      <c r="E121">
        <v>607.66</v>
      </c>
      <c r="F121">
        <v>42787561</v>
      </c>
      <c r="G121">
        <v>45630.666666666672</v>
      </c>
      <c r="H121">
        <v>73.2</v>
      </c>
      <c r="I121">
        <v>73.55</v>
      </c>
      <c r="J121">
        <v>73.09</v>
      </c>
      <c r="K121">
        <v>73.5</v>
      </c>
      <c r="L121">
        <v>6769697</v>
      </c>
      <c r="O121" s="8">
        <v>119</v>
      </c>
      <c r="P121" s="8">
        <f t="shared" si="4"/>
        <v>607.66</v>
      </c>
      <c r="Q121" s="8">
        <f t="shared" si="5"/>
        <v>73.5</v>
      </c>
      <c r="R121" s="21">
        <f t="shared" si="6"/>
        <v>1.6483697623050804E-3</v>
      </c>
      <c r="S121" s="21">
        <f t="shared" si="7"/>
        <v>-1.360359134812286E-4</v>
      </c>
      <c r="T121" s="15">
        <f>simulation!$B$1*((simulation!$B$4*data!R121)+(simulation!$B$5*data!S121))</f>
        <v>93.46074919905567</v>
      </c>
    </row>
    <row r="122" spans="1:20" x14ac:dyDescent="0.3">
      <c r="A122">
        <v>45629.666666666672</v>
      </c>
      <c r="B122">
        <v>603.39</v>
      </c>
      <c r="C122">
        <v>604.16</v>
      </c>
      <c r="D122">
        <v>602.34100000000001</v>
      </c>
      <c r="E122">
        <v>603.91</v>
      </c>
      <c r="F122">
        <v>26906629</v>
      </c>
      <c r="G122">
        <v>45629.666666666672</v>
      </c>
      <c r="H122">
        <v>73.53</v>
      </c>
      <c r="I122">
        <v>73.55</v>
      </c>
      <c r="J122">
        <v>73.2</v>
      </c>
      <c r="K122">
        <v>73.25</v>
      </c>
      <c r="L122">
        <v>6249233</v>
      </c>
      <c r="O122" s="8">
        <v>120</v>
      </c>
      <c r="P122" s="8">
        <f t="shared" si="4"/>
        <v>603.91</v>
      </c>
      <c r="Q122" s="8">
        <f t="shared" si="5"/>
        <v>73.25</v>
      </c>
      <c r="R122" s="21">
        <f t="shared" si="6"/>
        <v>-6.1712141658164105E-3</v>
      </c>
      <c r="S122" s="21">
        <f t="shared" si="7"/>
        <v>-3.4013605442176869E-3</v>
      </c>
      <c r="T122" s="15">
        <f>simulation!$B$1*((simulation!$B$4*data!R122)+(simulation!$B$5*data!S122))</f>
        <v>-506.3272717176921</v>
      </c>
    </row>
    <row r="123" spans="1:20" x14ac:dyDescent="0.3">
      <c r="A123">
        <v>45628.666666666672</v>
      </c>
      <c r="B123">
        <v>602.97</v>
      </c>
      <c r="C123">
        <v>604.32000000000005</v>
      </c>
      <c r="D123">
        <v>602.47</v>
      </c>
      <c r="E123">
        <v>603.63</v>
      </c>
      <c r="F123">
        <v>31745989</v>
      </c>
      <c r="G123">
        <v>45628.666666666672</v>
      </c>
      <c r="H123">
        <v>73.290000000000006</v>
      </c>
      <c r="I123">
        <v>73.48</v>
      </c>
      <c r="J123">
        <v>73.17</v>
      </c>
      <c r="K123">
        <v>73.42</v>
      </c>
      <c r="L123">
        <v>6213033</v>
      </c>
      <c r="O123" s="8">
        <v>121</v>
      </c>
      <c r="P123" s="8">
        <f t="shared" si="4"/>
        <v>603.63</v>
      </c>
      <c r="Q123" s="8">
        <f t="shared" si="5"/>
        <v>73.42</v>
      </c>
      <c r="R123" s="21">
        <f t="shared" si="6"/>
        <v>-4.6364524515237821E-4</v>
      </c>
      <c r="S123" s="21">
        <f t="shared" si="7"/>
        <v>2.3208191126280098E-3</v>
      </c>
      <c r="T123" s="15">
        <f>simulation!$B$1*((simulation!$B$4*data!R123)+(simulation!$B$5*data!S123))</f>
        <v>65.014049795977698</v>
      </c>
    </row>
    <row r="124" spans="1:20" x14ac:dyDescent="0.3">
      <c r="A124">
        <v>45625.666666666672</v>
      </c>
      <c r="B124">
        <v>599.66</v>
      </c>
      <c r="C124">
        <v>603.35</v>
      </c>
      <c r="D124">
        <v>599.38</v>
      </c>
      <c r="E124">
        <v>602.54999999999995</v>
      </c>
      <c r="F124">
        <v>30095740</v>
      </c>
      <c r="G124">
        <v>45625.666666666672</v>
      </c>
      <c r="H124">
        <v>73.5</v>
      </c>
      <c r="I124">
        <v>73.63</v>
      </c>
      <c r="J124">
        <v>73.5</v>
      </c>
      <c r="K124">
        <v>73.599999999999994</v>
      </c>
      <c r="L124">
        <v>3870808</v>
      </c>
      <c r="O124" s="8">
        <v>122</v>
      </c>
      <c r="P124" s="8">
        <f t="shared" si="4"/>
        <v>602.54999999999995</v>
      </c>
      <c r="Q124" s="8">
        <f t="shared" si="5"/>
        <v>73.599999999999994</v>
      </c>
      <c r="R124" s="21">
        <f t="shared" si="6"/>
        <v>-1.7891754882958782E-3</v>
      </c>
      <c r="S124" s="21">
        <f t="shared" si="7"/>
        <v>2.4516480523017244E-3</v>
      </c>
      <c r="T124" s="15">
        <f>simulation!$B$1*((simulation!$B$4*data!R124)+(simulation!$B$5*data!S124))</f>
        <v>-9.2846072056837006</v>
      </c>
    </row>
    <row r="125" spans="1:20" x14ac:dyDescent="0.3">
      <c r="A125">
        <v>45623.666666666672</v>
      </c>
      <c r="B125">
        <v>600.46</v>
      </c>
      <c r="C125">
        <v>600.85</v>
      </c>
      <c r="D125">
        <v>597.28</v>
      </c>
      <c r="E125">
        <v>598.83000000000004</v>
      </c>
      <c r="F125">
        <v>34000163</v>
      </c>
      <c r="G125">
        <v>45623.666666666672</v>
      </c>
      <c r="H125">
        <v>73.209999999999994</v>
      </c>
      <c r="I125">
        <v>73.42</v>
      </c>
      <c r="J125">
        <v>73.209999999999994</v>
      </c>
      <c r="K125">
        <v>73.33</v>
      </c>
      <c r="L125">
        <v>5366871</v>
      </c>
      <c r="O125" s="8">
        <v>123</v>
      </c>
      <c r="P125" s="8">
        <f t="shared" si="4"/>
        <v>598.83000000000004</v>
      </c>
      <c r="Q125" s="8">
        <f t="shared" si="5"/>
        <v>73.33</v>
      </c>
      <c r="R125" s="21">
        <f t="shared" si="6"/>
        <v>-6.1737615135671955E-3</v>
      </c>
      <c r="S125" s="21">
        <f t="shared" si="7"/>
        <v>-3.6684782608695115E-3</v>
      </c>
      <c r="T125" s="15">
        <f>simulation!$B$1*((simulation!$B$4*data!R125)+(simulation!$B$5*data!S125))</f>
        <v>-517.16482124881213</v>
      </c>
    </row>
    <row r="126" spans="1:20" x14ac:dyDescent="0.3">
      <c r="A126">
        <v>45622.666666666672</v>
      </c>
      <c r="B126">
        <v>598.79999999999995</v>
      </c>
      <c r="C126">
        <v>601.33000000000004</v>
      </c>
      <c r="D126">
        <v>598.07000000000005</v>
      </c>
      <c r="E126">
        <v>600.65</v>
      </c>
      <c r="F126">
        <v>45621288</v>
      </c>
      <c r="G126">
        <v>45622.666666666672</v>
      </c>
      <c r="H126">
        <v>73.180000000000007</v>
      </c>
      <c r="I126">
        <v>73.180000000000007</v>
      </c>
      <c r="J126">
        <v>72.944999999999993</v>
      </c>
      <c r="K126">
        <v>73.13</v>
      </c>
      <c r="L126">
        <v>5538283</v>
      </c>
      <c r="O126" s="8">
        <v>124</v>
      </c>
      <c r="P126" s="8">
        <f t="shared" si="4"/>
        <v>600.65</v>
      </c>
      <c r="Q126" s="8">
        <f t="shared" si="5"/>
        <v>73.13</v>
      </c>
      <c r="R126" s="21">
        <f t="shared" si="6"/>
        <v>3.0392598901189589E-3</v>
      </c>
      <c r="S126" s="21">
        <f t="shared" si="7"/>
        <v>-2.7273966998500321E-3</v>
      </c>
      <c r="T126" s="15">
        <f>simulation!$B$1*((simulation!$B$4*data!R126)+(simulation!$B$5*data!S126))</f>
        <v>73.259725413136238</v>
      </c>
    </row>
    <row r="127" spans="1:20" x14ac:dyDescent="0.3">
      <c r="A127">
        <v>45621.666666666672</v>
      </c>
      <c r="B127">
        <v>599.52</v>
      </c>
      <c r="C127">
        <v>600.86</v>
      </c>
      <c r="D127">
        <v>595.20000000000005</v>
      </c>
      <c r="E127">
        <v>597.53</v>
      </c>
      <c r="F127">
        <v>42441393</v>
      </c>
      <c r="G127">
        <v>45621.666666666672</v>
      </c>
      <c r="H127">
        <v>73.010000000000005</v>
      </c>
      <c r="I127">
        <v>73.2654</v>
      </c>
      <c r="J127">
        <v>73.010000000000005</v>
      </c>
      <c r="K127">
        <v>73.260000000000005</v>
      </c>
      <c r="L127">
        <v>10207082</v>
      </c>
      <c r="O127" s="8">
        <v>125</v>
      </c>
      <c r="P127" s="8">
        <f t="shared" si="4"/>
        <v>597.53</v>
      </c>
      <c r="Q127" s="8">
        <f t="shared" si="5"/>
        <v>73.260000000000005</v>
      </c>
      <c r="R127" s="21">
        <f t="shared" si="6"/>
        <v>-5.1943727628402641E-3</v>
      </c>
      <c r="S127" s="21">
        <f t="shared" si="7"/>
        <v>1.7776562286340718E-3</v>
      </c>
      <c r="T127" s="15">
        <f>simulation!$B$1*((simulation!$B$4*data!R127)+(simulation!$B$5*data!S127))</f>
        <v>-240.55611662505294</v>
      </c>
    </row>
    <row r="128" spans="1:20" x14ac:dyDescent="0.3">
      <c r="A128">
        <v>45618.666666666672</v>
      </c>
      <c r="B128">
        <v>593.66</v>
      </c>
      <c r="C128">
        <v>596.15</v>
      </c>
      <c r="D128">
        <v>593.15250000000003</v>
      </c>
      <c r="E128">
        <v>595.51</v>
      </c>
      <c r="F128">
        <v>38226390</v>
      </c>
      <c r="G128">
        <v>45618.666666666672</v>
      </c>
      <c r="H128">
        <v>72.62</v>
      </c>
      <c r="I128">
        <v>72.67</v>
      </c>
      <c r="J128">
        <v>72.52</v>
      </c>
      <c r="K128">
        <v>72.59</v>
      </c>
      <c r="L128">
        <v>10409497</v>
      </c>
      <c r="O128" s="8">
        <v>126</v>
      </c>
      <c r="P128" s="8">
        <f t="shared" si="4"/>
        <v>595.51</v>
      </c>
      <c r="Q128" s="8">
        <f t="shared" si="5"/>
        <v>72.59</v>
      </c>
      <c r="R128" s="21">
        <f t="shared" si="6"/>
        <v>-3.3805834016701788E-3</v>
      </c>
      <c r="S128" s="21">
        <f t="shared" si="7"/>
        <v>-9.1455091455091685E-3</v>
      </c>
      <c r="T128" s="15">
        <f>simulation!$B$1*((simulation!$B$4*data!R128)+(simulation!$B$5*data!S128))</f>
        <v>-568.65536992057741</v>
      </c>
    </row>
    <row r="129" spans="1:20" x14ac:dyDescent="0.3">
      <c r="A129">
        <v>45617.666666666672</v>
      </c>
      <c r="B129">
        <v>593.4</v>
      </c>
      <c r="C129">
        <v>595.12</v>
      </c>
      <c r="D129">
        <v>587.45000000000005</v>
      </c>
      <c r="E129">
        <v>593.66999999999996</v>
      </c>
      <c r="F129">
        <v>46750285</v>
      </c>
      <c r="G129">
        <v>45617.666666666672</v>
      </c>
      <c r="H129">
        <v>72.594999999999999</v>
      </c>
      <c r="I129">
        <v>72.739999999999995</v>
      </c>
      <c r="J129">
        <v>72.5</v>
      </c>
      <c r="K129">
        <v>72.56</v>
      </c>
      <c r="L129">
        <v>5115656</v>
      </c>
      <c r="O129" s="8">
        <v>127</v>
      </c>
      <c r="P129" s="8">
        <f t="shared" si="4"/>
        <v>593.66999999999996</v>
      </c>
      <c r="Q129" s="8">
        <f t="shared" si="5"/>
        <v>72.56</v>
      </c>
      <c r="R129" s="21">
        <f t="shared" si="6"/>
        <v>-3.08978858457462E-3</v>
      </c>
      <c r="S129" s="21">
        <f t="shared" si="7"/>
        <v>-4.1328006612482624E-4</v>
      </c>
      <c r="T129" s="15">
        <f>simulation!$B$1*((simulation!$B$4*data!R129)+(simulation!$B$5*data!S129))</f>
        <v>-201.91851771947023</v>
      </c>
    </row>
    <row r="130" spans="1:20" x14ac:dyDescent="0.3">
      <c r="A130">
        <v>45616.666666666672</v>
      </c>
      <c r="B130">
        <v>590.38</v>
      </c>
      <c r="C130">
        <v>590.79</v>
      </c>
      <c r="D130">
        <v>584.63</v>
      </c>
      <c r="E130">
        <v>590.5</v>
      </c>
      <c r="F130">
        <v>50032576</v>
      </c>
      <c r="G130">
        <v>45616.666666666672</v>
      </c>
      <c r="H130">
        <v>72.510000000000005</v>
      </c>
      <c r="I130">
        <v>72.694999999999993</v>
      </c>
      <c r="J130">
        <v>72.501900000000006</v>
      </c>
      <c r="K130">
        <v>72.599999999999994</v>
      </c>
      <c r="L130">
        <v>6557788</v>
      </c>
      <c r="O130" s="8">
        <v>128</v>
      </c>
      <c r="P130" s="8">
        <f t="shared" si="4"/>
        <v>590.5</v>
      </c>
      <c r="Q130" s="8">
        <f t="shared" si="5"/>
        <v>72.599999999999994</v>
      </c>
      <c r="R130" s="21">
        <f t="shared" si="6"/>
        <v>-5.3396668182659713E-3</v>
      </c>
      <c r="S130" s="21">
        <f t="shared" si="7"/>
        <v>5.5126791620716703E-4</v>
      </c>
      <c r="T130" s="15">
        <f>simulation!$B$1*((simulation!$B$4*data!R130)+(simulation!$B$5*data!S130))</f>
        <v>-298.32929244767161</v>
      </c>
    </row>
    <row r="131" spans="1:20" x14ac:dyDescent="0.3">
      <c r="A131">
        <v>45615.666666666672</v>
      </c>
      <c r="B131">
        <v>584.71</v>
      </c>
      <c r="C131">
        <v>591.04499999999996</v>
      </c>
      <c r="D131">
        <v>584.03</v>
      </c>
      <c r="E131">
        <v>590.29999999999995</v>
      </c>
      <c r="F131">
        <v>49412046</v>
      </c>
      <c r="G131">
        <v>45615.666666666672</v>
      </c>
      <c r="H131">
        <v>72.760000000000005</v>
      </c>
      <c r="I131">
        <v>72.78</v>
      </c>
      <c r="J131">
        <v>72.66</v>
      </c>
      <c r="K131">
        <v>72.680000000000007</v>
      </c>
      <c r="L131">
        <v>4900748</v>
      </c>
      <c r="O131" s="8">
        <v>129</v>
      </c>
      <c r="P131" s="8">
        <f t="shared" ref="P131:P194" si="8">E131</f>
        <v>590.29999999999995</v>
      </c>
      <c r="Q131" s="8">
        <f t="shared" ref="Q131:Q194" si="9">K131</f>
        <v>72.680000000000007</v>
      </c>
      <c r="R131" s="21">
        <f t="shared" si="6"/>
        <v>-3.3869602032183822E-4</v>
      </c>
      <c r="S131" s="21">
        <f t="shared" si="7"/>
        <v>1.1019283746558197E-3</v>
      </c>
      <c r="T131" s="15">
        <f>simulation!$B$1*((simulation!$B$4*data!R131)+(simulation!$B$5*data!S131))</f>
        <v>23.755373766922492</v>
      </c>
    </row>
    <row r="132" spans="1:20" x14ac:dyDescent="0.3">
      <c r="A132">
        <v>45614.666666666672</v>
      </c>
      <c r="B132">
        <v>586.22</v>
      </c>
      <c r="C132">
        <v>589.49</v>
      </c>
      <c r="D132">
        <v>585.34</v>
      </c>
      <c r="E132">
        <v>588.15</v>
      </c>
      <c r="F132">
        <v>37084081</v>
      </c>
      <c r="G132">
        <v>45614.666666666672</v>
      </c>
      <c r="H132">
        <v>72.400000000000006</v>
      </c>
      <c r="I132">
        <v>72.61</v>
      </c>
      <c r="J132">
        <v>72.334699999999998</v>
      </c>
      <c r="K132">
        <v>72.55</v>
      </c>
      <c r="L132">
        <v>4965080</v>
      </c>
      <c r="O132" s="8">
        <v>130</v>
      </c>
      <c r="P132" s="8">
        <f t="shared" si="8"/>
        <v>588.15</v>
      </c>
      <c r="Q132" s="8">
        <f t="shared" si="9"/>
        <v>72.55</v>
      </c>
      <c r="R132" s="21">
        <f t="shared" si="6"/>
        <v>-3.6422158224631161E-3</v>
      </c>
      <c r="S132" s="21">
        <f t="shared" si="7"/>
        <v>-1.7886626307100943E-3</v>
      </c>
      <c r="T132" s="15">
        <f>simulation!$B$1*((simulation!$B$4*data!R132)+(simulation!$B$5*data!S132))</f>
        <v>-290.0794545761907</v>
      </c>
    </row>
    <row r="133" spans="1:20" x14ac:dyDescent="0.3">
      <c r="A133">
        <v>45611.666666666672</v>
      </c>
      <c r="B133">
        <v>589.72</v>
      </c>
      <c r="C133">
        <v>590.20000000000005</v>
      </c>
      <c r="D133">
        <v>583.86</v>
      </c>
      <c r="E133">
        <v>585.75</v>
      </c>
      <c r="F133">
        <v>75988766</v>
      </c>
      <c r="G133">
        <v>45611.666666666672</v>
      </c>
      <c r="H133">
        <v>72.34</v>
      </c>
      <c r="I133">
        <v>72.66</v>
      </c>
      <c r="J133">
        <v>72.2</v>
      </c>
      <c r="K133">
        <v>72.48</v>
      </c>
      <c r="L133">
        <v>18467423</v>
      </c>
      <c r="O133" s="8">
        <v>131</v>
      </c>
      <c r="P133" s="8">
        <f t="shared" si="8"/>
        <v>585.75</v>
      </c>
      <c r="Q133" s="8">
        <f t="shared" si="9"/>
        <v>72.48</v>
      </c>
      <c r="R133" s="21">
        <f t="shared" ref="R133:R196" si="10">(P133-P132)/P132</f>
        <v>-4.0805916857944019E-3</v>
      </c>
      <c r="S133" s="21">
        <f t="shared" ref="S133:S196" si="11">(Q133-Q132)/Q132</f>
        <v>-9.6485182632657723E-4</v>
      </c>
      <c r="T133" s="15">
        <f>simulation!$B$1*((simulation!$B$4*data!R133)+(simulation!$B$5*data!S133))</f>
        <v>-283.42957420072719</v>
      </c>
    </row>
    <row r="134" spans="1:20" x14ac:dyDescent="0.3">
      <c r="A134">
        <v>45610.666666666672</v>
      </c>
      <c r="B134">
        <v>597.32000000000005</v>
      </c>
      <c r="C134">
        <v>597.80999999999995</v>
      </c>
      <c r="D134">
        <v>592.65</v>
      </c>
      <c r="E134">
        <v>593.35</v>
      </c>
      <c r="F134">
        <v>38904109</v>
      </c>
      <c r="G134">
        <v>45610.666666666672</v>
      </c>
      <c r="H134">
        <v>72.599999999999994</v>
      </c>
      <c r="I134">
        <v>72.72</v>
      </c>
      <c r="J134">
        <v>72.41</v>
      </c>
      <c r="K134">
        <v>72.459999999999994</v>
      </c>
      <c r="L134">
        <v>6643295</v>
      </c>
      <c r="O134" s="8">
        <v>132</v>
      </c>
      <c r="P134" s="8">
        <f t="shared" si="8"/>
        <v>593.35</v>
      </c>
      <c r="Q134" s="8">
        <f t="shared" si="9"/>
        <v>72.459999999999994</v>
      </c>
      <c r="R134" s="21">
        <f t="shared" si="10"/>
        <v>1.2974818608621465E-2</v>
      </c>
      <c r="S134" s="21">
        <f t="shared" si="11"/>
        <v>-2.7593818984561578E-4</v>
      </c>
      <c r="T134" s="15">
        <f>simulation!$B$1*((simulation!$B$4*data!R134)+(simulation!$B$5*data!S134))</f>
        <v>767.45158892346319</v>
      </c>
    </row>
    <row r="135" spans="1:20" x14ac:dyDescent="0.3">
      <c r="A135">
        <v>45609.666666666672</v>
      </c>
      <c r="B135">
        <v>597.37</v>
      </c>
      <c r="C135">
        <v>599.23</v>
      </c>
      <c r="D135">
        <v>594.96</v>
      </c>
      <c r="E135">
        <v>597.19000000000005</v>
      </c>
      <c r="F135">
        <v>47388640</v>
      </c>
      <c r="G135">
        <v>45609.666666666672</v>
      </c>
      <c r="H135">
        <v>72.92</v>
      </c>
      <c r="I135">
        <v>72.92</v>
      </c>
      <c r="J135">
        <v>72.413700000000006</v>
      </c>
      <c r="K135">
        <v>72.48</v>
      </c>
      <c r="L135">
        <v>5458123</v>
      </c>
      <c r="O135" s="8">
        <v>133</v>
      </c>
      <c r="P135" s="8">
        <f t="shared" si="8"/>
        <v>597.19000000000005</v>
      </c>
      <c r="Q135" s="8">
        <f t="shared" si="9"/>
        <v>72.48</v>
      </c>
      <c r="R135" s="21">
        <f t="shared" si="10"/>
        <v>6.4717283222381931E-3</v>
      </c>
      <c r="S135" s="21">
        <f t="shared" si="11"/>
        <v>2.7601435274648403E-4</v>
      </c>
      <c r="T135" s="15">
        <f>simulation!$B$1*((simulation!$B$4*data!R135)+(simulation!$B$5*data!S135))</f>
        <v>399.34427344415093</v>
      </c>
    </row>
    <row r="136" spans="1:20" x14ac:dyDescent="0.3">
      <c r="A136">
        <v>45608.666666666672</v>
      </c>
      <c r="B136">
        <v>598.67999999999995</v>
      </c>
      <c r="C136">
        <v>599.29</v>
      </c>
      <c r="D136">
        <v>594.37</v>
      </c>
      <c r="E136">
        <v>596.9</v>
      </c>
      <c r="F136">
        <v>43006128</v>
      </c>
      <c r="G136">
        <v>45608.666666666672</v>
      </c>
      <c r="H136">
        <v>72.739999999999995</v>
      </c>
      <c r="I136">
        <v>72.819999999999993</v>
      </c>
      <c r="J136">
        <v>72.464299999999994</v>
      </c>
      <c r="K136">
        <v>72.510000000000005</v>
      </c>
      <c r="L136">
        <v>7197886</v>
      </c>
      <c r="O136" s="8">
        <v>134</v>
      </c>
      <c r="P136" s="8">
        <f t="shared" si="8"/>
        <v>596.9</v>
      </c>
      <c r="Q136" s="8">
        <f t="shared" si="9"/>
        <v>72.510000000000005</v>
      </c>
      <c r="R136" s="21">
        <f t="shared" si="10"/>
        <v>-4.8560759557272773E-4</v>
      </c>
      <c r="S136" s="21">
        <f t="shared" si="11"/>
        <v>4.1390728476822759E-4</v>
      </c>
      <c r="T136" s="15">
        <f>simulation!$B$1*((simulation!$B$4*data!R136)+(simulation!$B$5*data!S136))</f>
        <v>-12.580164343634559</v>
      </c>
    </row>
    <row r="137" spans="1:20" x14ac:dyDescent="0.3">
      <c r="A137">
        <v>45607.666666666672</v>
      </c>
      <c r="B137">
        <v>599.80999999999995</v>
      </c>
      <c r="C137">
        <v>600.16999999999996</v>
      </c>
      <c r="D137">
        <v>597</v>
      </c>
      <c r="E137">
        <v>598.76</v>
      </c>
      <c r="F137">
        <v>37586773</v>
      </c>
      <c r="G137">
        <v>45607.666666666672</v>
      </c>
      <c r="H137">
        <v>73</v>
      </c>
      <c r="I137">
        <v>73</v>
      </c>
      <c r="J137">
        <v>72.849999999999994</v>
      </c>
      <c r="K137">
        <v>72.95</v>
      </c>
      <c r="L137">
        <v>4371984</v>
      </c>
      <c r="O137" s="8">
        <v>135</v>
      </c>
      <c r="P137" s="8">
        <f t="shared" si="8"/>
        <v>598.76</v>
      </c>
      <c r="Q137" s="8">
        <f t="shared" si="9"/>
        <v>72.95</v>
      </c>
      <c r="R137" s="21">
        <f t="shared" si="10"/>
        <v>3.116099849220998E-3</v>
      </c>
      <c r="S137" s="21">
        <f t="shared" si="11"/>
        <v>6.0681285339952793E-3</v>
      </c>
      <c r="T137" s="15">
        <f>simulation!$B$1*((simulation!$B$4*data!R137)+(simulation!$B$5*data!S137))</f>
        <v>429.69113231307102</v>
      </c>
    </row>
    <row r="138" spans="1:20" x14ac:dyDescent="0.3">
      <c r="A138">
        <v>45604.666666666672</v>
      </c>
      <c r="B138">
        <v>596.16999999999996</v>
      </c>
      <c r="C138">
        <v>599.64</v>
      </c>
      <c r="D138">
        <v>596.16499999999996</v>
      </c>
      <c r="E138">
        <v>598.19000000000005</v>
      </c>
      <c r="F138">
        <v>46444893</v>
      </c>
      <c r="G138">
        <v>45604.666666666672</v>
      </c>
      <c r="H138">
        <v>72.959999999999994</v>
      </c>
      <c r="I138">
        <v>73.239999999999995</v>
      </c>
      <c r="J138">
        <v>72.959999999999994</v>
      </c>
      <c r="K138">
        <v>73.09</v>
      </c>
      <c r="L138">
        <v>5398497</v>
      </c>
      <c r="O138" s="8">
        <v>136</v>
      </c>
      <c r="P138" s="8">
        <f t="shared" si="8"/>
        <v>598.19000000000005</v>
      </c>
      <c r="Q138" s="8">
        <f t="shared" si="9"/>
        <v>73.09</v>
      </c>
      <c r="R138" s="21">
        <f t="shared" si="10"/>
        <v>-9.5196739929176357E-4</v>
      </c>
      <c r="S138" s="21">
        <f t="shared" si="11"/>
        <v>1.9191226867717691E-3</v>
      </c>
      <c r="T138" s="15">
        <f>simulation!$B$1*((simulation!$B$4*data!R138)+(simulation!$B$5*data!S138))</f>
        <v>19.646863513364956</v>
      </c>
    </row>
    <row r="139" spans="1:20" x14ac:dyDescent="0.3">
      <c r="A139">
        <v>45603.666666666672</v>
      </c>
      <c r="B139">
        <v>593.08000000000004</v>
      </c>
      <c r="C139">
        <v>596.65</v>
      </c>
      <c r="D139">
        <v>592.99990000000003</v>
      </c>
      <c r="E139">
        <v>595.61</v>
      </c>
      <c r="F139">
        <v>47233212</v>
      </c>
      <c r="G139">
        <v>45603.666666666672</v>
      </c>
      <c r="H139">
        <v>72.5</v>
      </c>
      <c r="I139">
        <v>73.025000000000006</v>
      </c>
      <c r="J139">
        <v>72.5</v>
      </c>
      <c r="K139">
        <v>72.95</v>
      </c>
      <c r="L139">
        <v>6590178</v>
      </c>
      <c r="O139" s="8">
        <v>137</v>
      </c>
      <c r="P139" s="8">
        <f t="shared" si="8"/>
        <v>595.61</v>
      </c>
      <c r="Q139" s="8">
        <f t="shared" si="9"/>
        <v>72.95</v>
      </c>
      <c r="R139" s="21">
        <f t="shared" si="10"/>
        <v>-4.3130109162641313E-3</v>
      </c>
      <c r="S139" s="21">
        <f t="shared" si="11"/>
        <v>-1.915446709536196E-3</v>
      </c>
      <c r="T139" s="15">
        <f>simulation!$B$1*((simulation!$B$4*data!R139)+(simulation!$B$5*data!S139))</f>
        <v>-335.39852335729569</v>
      </c>
    </row>
    <row r="140" spans="1:20" x14ac:dyDescent="0.3">
      <c r="A140">
        <v>45602.666666666672</v>
      </c>
      <c r="B140">
        <v>589.20000000000005</v>
      </c>
      <c r="C140">
        <v>591.92999999999995</v>
      </c>
      <c r="D140">
        <v>585.39</v>
      </c>
      <c r="E140">
        <v>591.04</v>
      </c>
      <c r="F140">
        <v>68181968</v>
      </c>
      <c r="G140">
        <v>45602.666666666672</v>
      </c>
      <c r="H140">
        <v>72.260000000000005</v>
      </c>
      <c r="I140">
        <v>72.5899</v>
      </c>
      <c r="J140">
        <v>72.2303</v>
      </c>
      <c r="K140">
        <v>72.41</v>
      </c>
      <c r="L140">
        <v>6382489</v>
      </c>
      <c r="O140" s="8">
        <v>138</v>
      </c>
      <c r="P140" s="8">
        <f t="shared" si="8"/>
        <v>591.04</v>
      </c>
      <c r="Q140" s="8">
        <f t="shared" si="9"/>
        <v>72.41</v>
      </c>
      <c r="R140" s="21">
        <f t="shared" si="10"/>
        <v>-7.672806030792045E-3</v>
      </c>
      <c r="S140" s="21">
        <f t="shared" si="11"/>
        <v>-7.402330363262594E-3</v>
      </c>
      <c r="T140" s="15">
        <f>simulation!$B$1*((simulation!$B$4*data!R140)+(simulation!$B$5*data!S140))</f>
        <v>-756.46157637802651</v>
      </c>
    </row>
    <row r="141" spans="1:20" x14ac:dyDescent="0.3">
      <c r="A141">
        <v>45601.666666666672</v>
      </c>
      <c r="B141">
        <v>570.74</v>
      </c>
      <c r="C141">
        <v>576.74</v>
      </c>
      <c r="D141">
        <v>570.52</v>
      </c>
      <c r="E141">
        <v>576.70000000000005</v>
      </c>
      <c r="F141">
        <v>39478322</v>
      </c>
      <c r="G141">
        <v>45601.666666666672</v>
      </c>
      <c r="H141">
        <v>72.599999999999994</v>
      </c>
      <c r="I141">
        <v>73.03</v>
      </c>
      <c r="J141">
        <v>72.599999999999994</v>
      </c>
      <c r="K141">
        <v>73.010000000000005</v>
      </c>
      <c r="L141">
        <v>6236861</v>
      </c>
      <c r="O141" s="8">
        <v>139</v>
      </c>
      <c r="P141" s="8">
        <f t="shared" si="8"/>
        <v>576.70000000000005</v>
      </c>
      <c r="Q141" s="8">
        <f t="shared" si="9"/>
        <v>73.010000000000005</v>
      </c>
      <c r="R141" s="21">
        <f t="shared" si="10"/>
        <v>-2.4262317271250541E-2</v>
      </c>
      <c r="S141" s="21">
        <f t="shared" si="11"/>
        <v>8.2861483220550824E-3</v>
      </c>
      <c r="T141" s="15">
        <f>simulation!$B$1*((simulation!$B$4*data!R141)+(simulation!$B$5*data!S141))</f>
        <v>-1124.2931033928292</v>
      </c>
    </row>
    <row r="142" spans="1:20" x14ac:dyDescent="0.3">
      <c r="A142">
        <v>45600.666666666672</v>
      </c>
      <c r="B142">
        <v>571.17999999999995</v>
      </c>
      <c r="C142">
        <v>572.5</v>
      </c>
      <c r="D142">
        <v>567.89</v>
      </c>
      <c r="E142">
        <v>569.80999999999995</v>
      </c>
      <c r="F142">
        <v>38216975</v>
      </c>
      <c r="G142">
        <v>45600.666666666672</v>
      </c>
      <c r="H142">
        <v>72.819999999999993</v>
      </c>
      <c r="I142">
        <v>73.010000000000005</v>
      </c>
      <c r="J142">
        <v>72.700100000000006</v>
      </c>
      <c r="K142">
        <v>72.83</v>
      </c>
      <c r="L142">
        <v>6860229</v>
      </c>
      <c r="O142" s="8">
        <v>140</v>
      </c>
      <c r="P142" s="8">
        <f t="shared" si="8"/>
        <v>569.80999999999995</v>
      </c>
      <c r="Q142" s="8">
        <f t="shared" si="9"/>
        <v>72.83</v>
      </c>
      <c r="R142" s="21">
        <f t="shared" si="10"/>
        <v>-1.1947286284029997E-2</v>
      </c>
      <c r="S142" s="21">
        <f t="shared" si="11"/>
        <v>-2.4654156964800276E-3</v>
      </c>
      <c r="T142" s="15">
        <f>simulation!$B$1*((simulation!$B$4*data!R142)+(simulation!$B$5*data!S142))</f>
        <v>-815.45380490100092</v>
      </c>
    </row>
    <row r="143" spans="1:20" x14ac:dyDescent="0.3">
      <c r="A143">
        <v>45597.666666666672</v>
      </c>
      <c r="B143">
        <v>571.32000000000005</v>
      </c>
      <c r="C143">
        <v>575.54999999999995</v>
      </c>
      <c r="D143">
        <v>570.62</v>
      </c>
      <c r="E143">
        <v>571.04</v>
      </c>
      <c r="F143">
        <v>45667533</v>
      </c>
      <c r="G143">
        <v>45597.666666666672</v>
      </c>
      <c r="H143">
        <v>73.034999999999997</v>
      </c>
      <c r="I143">
        <v>73.08</v>
      </c>
      <c r="J143">
        <v>72.510000000000005</v>
      </c>
      <c r="K143">
        <v>72.540000000000006</v>
      </c>
      <c r="L143">
        <v>6409880</v>
      </c>
      <c r="O143" s="8">
        <v>141</v>
      </c>
      <c r="P143" s="8">
        <f t="shared" si="8"/>
        <v>571.04</v>
      </c>
      <c r="Q143" s="8">
        <f t="shared" si="9"/>
        <v>72.540000000000006</v>
      </c>
      <c r="R143" s="21">
        <f t="shared" si="10"/>
        <v>2.158614274933782E-3</v>
      </c>
      <c r="S143" s="21">
        <f t="shared" si="11"/>
        <v>-3.9818756007138825E-3</v>
      </c>
      <c r="T143" s="15">
        <f>simulation!$B$1*((simulation!$B$4*data!R143)+(simulation!$B$5*data!S143))</f>
        <v>-29.758167532528407</v>
      </c>
    </row>
    <row r="144" spans="1:20" x14ac:dyDescent="0.3">
      <c r="A144">
        <v>45596.666666666672</v>
      </c>
      <c r="B144">
        <v>575.55999999999995</v>
      </c>
      <c r="C144">
        <v>575.63</v>
      </c>
      <c r="D144">
        <v>568.44000000000005</v>
      </c>
      <c r="E144">
        <v>568.64</v>
      </c>
      <c r="F144">
        <v>60182451</v>
      </c>
      <c r="G144">
        <v>45596.666666666672</v>
      </c>
      <c r="H144">
        <v>72.95</v>
      </c>
      <c r="I144">
        <v>73.159000000000006</v>
      </c>
      <c r="J144">
        <v>72.83</v>
      </c>
      <c r="K144">
        <v>73.05</v>
      </c>
      <c r="L144">
        <v>6115916</v>
      </c>
      <c r="O144" s="8">
        <v>142</v>
      </c>
      <c r="P144" s="8">
        <f t="shared" si="8"/>
        <v>568.64</v>
      </c>
      <c r="Q144" s="8">
        <f t="shared" si="9"/>
        <v>73.05</v>
      </c>
      <c r="R144" s="21">
        <f t="shared" si="10"/>
        <v>-4.2028579434014732E-3</v>
      </c>
      <c r="S144" s="21">
        <f t="shared" si="11"/>
        <v>7.030603804797227E-3</v>
      </c>
      <c r="T144" s="15">
        <f>simulation!$B$1*((simulation!$B$4*data!R144)+(simulation!$B$5*data!S144))</f>
        <v>29.052675587800703</v>
      </c>
    </row>
    <row r="145" spans="1:20" x14ac:dyDescent="0.3">
      <c r="A145">
        <v>45595.666666666672</v>
      </c>
      <c r="B145">
        <v>581.29</v>
      </c>
      <c r="C145">
        <v>583.32000000000005</v>
      </c>
      <c r="D145">
        <v>579.29</v>
      </c>
      <c r="E145">
        <v>580.01</v>
      </c>
      <c r="F145">
        <v>41435839</v>
      </c>
      <c r="G145">
        <v>45595.666666666672</v>
      </c>
      <c r="H145">
        <v>73.27</v>
      </c>
      <c r="I145">
        <v>73.430000000000007</v>
      </c>
      <c r="J145">
        <v>73.0244</v>
      </c>
      <c r="K145">
        <v>73.06</v>
      </c>
      <c r="L145">
        <v>4610487</v>
      </c>
      <c r="O145" s="8">
        <v>143</v>
      </c>
      <c r="P145" s="8">
        <f t="shared" si="8"/>
        <v>580.01</v>
      </c>
      <c r="Q145" s="8">
        <f t="shared" si="9"/>
        <v>73.06</v>
      </c>
      <c r="R145" s="21">
        <f t="shared" si="10"/>
        <v>1.9995075970737207E-2</v>
      </c>
      <c r="S145" s="21">
        <f t="shared" si="11"/>
        <v>1.368925393566751E-4</v>
      </c>
      <c r="T145" s="15">
        <f>simulation!$B$1*((simulation!$B$4*data!R145)+(simulation!$B$5*data!S145))</f>
        <v>1205.1802598184993</v>
      </c>
    </row>
    <row r="146" spans="1:20" x14ac:dyDescent="0.3">
      <c r="A146">
        <v>45594.666666666672</v>
      </c>
      <c r="B146">
        <v>579.85</v>
      </c>
      <c r="C146">
        <v>582.90700000000004</v>
      </c>
      <c r="D146">
        <v>578.42999999999995</v>
      </c>
      <c r="E146">
        <v>581.77</v>
      </c>
      <c r="F146">
        <v>42899661</v>
      </c>
      <c r="G146">
        <v>45594.666666666672</v>
      </c>
      <c r="H146">
        <v>72.900000000000006</v>
      </c>
      <c r="I146">
        <v>73.14</v>
      </c>
      <c r="J146">
        <v>72.790000000000006</v>
      </c>
      <c r="K146">
        <v>73.13</v>
      </c>
      <c r="L146">
        <v>5544148</v>
      </c>
      <c r="O146" s="8">
        <v>144</v>
      </c>
      <c r="P146" s="8">
        <f t="shared" si="8"/>
        <v>581.77</v>
      </c>
      <c r="Q146" s="8">
        <f t="shared" si="9"/>
        <v>73.13</v>
      </c>
      <c r="R146" s="21">
        <f t="shared" si="10"/>
        <v>3.0344304408544522E-3</v>
      </c>
      <c r="S146" s="21">
        <f t="shared" si="11"/>
        <v>9.5811661647951236E-4</v>
      </c>
      <c r="T146" s="15">
        <f>simulation!$B$1*((simulation!$B$4*data!R146)+(simulation!$B$5*data!S146))</f>
        <v>220.39049111044761</v>
      </c>
    </row>
    <row r="147" spans="1:20" x14ac:dyDescent="0.3">
      <c r="A147">
        <v>45593.666666666672</v>
      </c>
      <c r="B147">
        <v>582.58000000000004</v>
      </c>
      <c r="C147">
        <v>582.71</v>
      </c>
      <c r="D147">
        <v>580.52</v>
      </c>
      <c r="E147">
        <v>580.83000000000004</v>
      </c>
      <c r="F147">
        <v>30174704</v>
      </c>
      <c r="G147">
        <v>45593.666666666672</v>
      </c>
      <c r="H147">
        <v>73.234999999999999</v>
      </c>
      <c r="I147">
        <v>73.28</v>
      </c>
      <c r="J147">
        <v>72.95</v>
      </c>
      <c r="K147">
        <v>73.069999999999993</v>
      </c>
      <c r="L147">
        <v>4582810</v>
      </c>
      <c r="O147" s="8">
        <v>145</v>
      </c>
      <c r="P147" s="8">
        <f t="shared" si="8"/>
        <v>580.83000000000004</v>
      </c>
      <c r="Q147" s="8">
        <f t="shared" si="9"/>
        <v>73.069999999999993</v>
      </c>
      <c r="R147" s="21">
        <f t="shared" si="10"/>
        <v>-1.6157588050259397E-3</v>
      </c>
      <c r="S147" s="21">
        <f t="shared" si="11"/>
        <v>-8.2045672090800322E-4</v>
      </c>
      <c r="T147" s="15">
        <f>simulation!$B$1*((simulation!$B$4*data!R147)+(simulation!$B$5*data!S147))</f>
        <v>-129.76379713787651</v>
      </c>
    </row>
    <row r="148" spans="1:20" x14ac:dyDescent="0.3">
      <c r="A148">
        <v>45590.666666666672</v>
      </c>
      <c r="B148">
        <v>581.51</v>
      </c>
      <c r="C148">
        <v>584.46</v>
      </c>
      <c r="D148">
        <v>578.08000000000004</v>
      </c>
      <c r="E148">
        <v>579.04</v>
      </c>
      <c r="F148">
        <v>47268176</v>
      </c>
      <c r="G148">
        <v>45590.666666666672</v>
      </c>
      <c r="H148">
        <v>73.48</v>
      </c>
      <c r="I148">
        <v>73.48</v>
      </c>
      <c r="J148">
        <v>73.13</v>
      </c>
      <c r="K148">
        <v>73.16</v>
      </c>
      <c r="L148">
        <v>4641724</v>
      </c>
      <c r="O148" s="8">
        <v>146</v>
      </c>
      <c r="P148" s="8">
        <f t="shared" si="8"/>
        <v>579.04</v>
      </c>
      <c r="Q148" s="8">
        <f t="shared" si="9"/>
        <v>73.16</v>
      </c>
      <c r="R148" s="21">
        <f t="shared" si="10"/>
        <v>-3.0817967391492816E-3</v>
      </c>
      <c r="S148" s="21">
        <f t="shared" si="11"/>
        <v>1.2316956343232984E-3</v>
      </c>
      <c r="T148" s="15">
        <f>simulation!$B$1*((simulation!$B$4*data!R148)+(simulation!$B$5*data!S148))</f>
        <v>-135.63997897602493</v>
      </c>
    </row>
    <row r="149" spans="1:20" x14ac:dyDescent="0.3">
      <c r="A149">
        <v>45589.666666666672</v>
      </c>
      <c r="B149">
        <v>579.98</v>
      </c>
      <c r="C149">
        <v>580.05999999999995</v>
      </c>
      <c r="D149">
        <v>576.57000000000005</v>
      </c>
      <c r="E149">
        <v>579.24</v>
      </c>
      <c r="F149">
        <v>34979860</v>
      </c>
      <c r="G149">
        <v>45589.666666666672</v>
      </c>
      <c r="H149">
        <v>73.28</v>
      </c>
      <c r="I149">
        <v>73.44</v>
      </c>
      <c r="J149">
        <v>73.170100000000005</v>
      </c>
      <c r="K149">
        <v>73.31</v>
      </c>
      <c r="L149">
        <v>6219581</v>
      </c>
      <c r="O149" s="8">
        <v>147</v>
      </c>
      <c r="P149" s="8">
        <f t="shared" si="8"/>
        <v>579.24</v>
      </c>
      <c r="Q149" s="8">
        <f t="shared" si="9"/>
        <v>73.31</v>
      </c>
      <c r="R149" s="21">
        <f t="shared" si="10"/>
        <v>3.4539928156957286E-4</v>
      </c>
      <c r="S149" s="21">
        <f t="shared" si="11"/>
        <v>2.0503007107709908E-3</v>
      </c>
      <c r="T149" s="15">
        <f>simulation!$B$1*((simulation!$B$4*data!R149)+(simulation!$B$5*data!S149))</f>
        <v>102.73598532501401</v>
      </c>
    </row>
    <row r="150" spans="1:20" x14ac:dyDescent="0.3">
      <c r="A150">
        <v>45588.666666666672</v>
      </c>
      <c r="B150">
        <v>581.26</v>
      </c>
      <c r="C150">
        <v>581.70860000000005</v>
      </c>
      <c r="D150">
        <v>574.41499999999996</v>
      </c>
      <c r="E150">
        <v>577.99</v>
      </c>
      <c r="F150">
        <v>49314574</v>
      </c>
      <c r="G150">
        <v>45588.666666666672</v>
      </c>
      <c r="H150">
        <v>73.36</v>
      </c>
      <c r="I150">
        <v>73.368899999999996</v>
      </c>
      <c r="J150">
        <v>73.084999999999994</v>
      </c>
      <c r="K150">
        <v>73.19</v>
      </c>
      <c r="L150">
        <v>6429430</v>
      </c>
      <c r="O150" s="8">
        <v>148</v>
      </c>
      <c r="P150" s="8">
        <f t="shared" si="8"/>
        <v>577.99</v>
      </c>
      <c r="Q150" s="8">
        <f t="shared" si="9"/>
        <v>73.19</v>
      </c>
      <c r="R150" s="21">
        <f t="shared" si="10"/>
        <v>-2.158000138112009E-3</v>
      </c>
      <c r="S150" s="21">
        <f t="shared" si="11"/>
        <v>-1.6368844632383651E-3</v>
      </c>
      <c r="T150" s="15">
        <f>simulation!$B$1*((simulation!$B$4*data!R150)+(simulation!$B$5*data!S150))</f>
        <v>-194.95538681625516</v>
      </c>
    </row>
    <row r="151" spans="1:20" x14ac:dyDescent="0.3">
      <c r="A151">
        <v>45587.666666666672</v>
      </c>
      <c r="B151">
        <v>581.04999999999995</v>
      </c>
      <c r="C151">
        <v>584.5</v>
      </c>
      <c r="D151">
        <v>580.38</v>
      </c>
      <c r="E151">
        <v>583.32000000000005</v>
      </c>
      <c r="F151">
        <v>34183835</v>
      </c>
      <c r="G151">
        <v>45587.666666666672</v>
      </c>
      <c r="H151">
        <v>73.45</v>
      </c>
      <c r="I151">
        <v>73.489999999999995</v>
      </c>
      <c r="J151">
        <v>73.28</v>
      </c>
      <c r="K151">
        <v>73.37</v>
      </c>
      <c r="L151">
        <v>4632962</v>
      </c>
      <c r="O151" s="8">
        <v>149</v>
      </c>
      <c r="P151" s="8">
        <f t="shared" si="8"/>
        <v>583.32000000000005</v>
      </c>
      <c r="Q151" s="8">
        <f t="shared" si="9"/>
        <v>73.37</v>
      </c>
      <c r="R151" s="21">
        <f t="shared" si="10"/>
        <v>9.2216128306718808E-3</v>
      </c>
      <c r="S151" s="21">
        <f t="shared" si="11"/>
        <v>2.459352370542517E-3</v>
      </c>
      <c r="T151" s="15">
        <f>simulation!$B$1*((simulation!$B$4*data!R151)+(simulation!$B$5*data!S151))</f>
        <v>651.67086466201351</v>
      </c>
    </row>
    <row r="152" spans="1:20" x14ac:dyDescent="0.3">
      <c r="A152">
        <v>45586.666666666672</v>
      </c>
      <c r="B152">
        <v>583.85</v>
      </c>
      <c r="C152">
        <v>584.85</v>
      </c>
      <c r="D152">
        <v>580.6001</v>
      </c>
      <c r="E152">
        <v>583.63</v>
      </c>
      <c r="F152">
        <v>36439010</v>
      </c>
      <c r="G152">
        <v>45586.666666666672</v>
      </c>
      <c r="H152">
        <v>73.650000000000006</v>
      </c>
      <c r="I152">
        <v>73.650000000000006</v>
      </c>
      <c r="J152">
        <v>73.319999999999993</v>
      </c>
      <c r="K152">
        <v>73.34</v>
      </c>
      <c r="L152">
        <v>5259909</v>
      </c>
      <c r="O152" s="8">
        <v>150</v>
      </c>
      <c r="P152" s="8">
        <f t="shared" si="8"/>
        <v>583.63</v>
      </c>
      <c r="Q152" s="8">
        <f t="shared" si="9"/>
        <v>73.34</v>
      </c>
      <c r="R152" s="21">
        <f t="shared" si="10"/>
        <v>5.31440718644904E-4</v>
      </c>
      <c r="S152" s="21">
        <f t="shared" si="11"/>
        <v>-4.0888646585799559E-4</v>
      </c>
      <c r="T152" s="15">
        <f>simulation!$B$1*((simulation!$B$4*data!R152)+(simulation!$B$5*data!S152))</f>
        <v>15.530984484374416</v>
      </c>
    </row>
    <row r="153" spans="1:20" x14ac:dyDescent="0.3">
      <c r="A153">
        <v>45583.666666666672</v>
      </c>
      <c r="B153">
        <v>584.07000000000005</v>
      </c>
      <c r="C153">
        <v>585.39</v>
      </c>
      <c r="D153">
        <v>582.58000000000004</v>
      </c>
      <c r="E153">
        <v>584.59</v>
      </c>
      <c r="F153">
        <v>37416801</v>
      </c>
      <c r="G153">
        <v>45583.666666666672</v>
      </c>
      <c r="H153">
        <v>73.900000000000006</v>
      </c>
      <c r="I153">
        <v>73.977699999999999</v>
      </c>
      <c r="J153">
        <v>73.84</v>
      </c>
      <c r="K153">
        <v>73.84</v>
      </c>
      <c r="L153">
        <v>3930269</v>
      </c>
      <c r="O153" s="8">
        <v>151</v>
      </c>
      <c r="P153" s="8">
        <f t="shared" si="8"/>
        <v>584.59</v>
      </c>
      <c r="Q153" s="8">
        <f t="shared" si="9"/>
        <v>73.84</v>
      </c>
      <c r="R153" s="21">
        <f t="shared" si="10"/>
        <v>1.6448777478882792E-3</v>
      </c>
      <c r="S153" s="21">
        <f t="shared" si="11"/>
        <v>6.8175620398145623E-3</v>
      </c>
      <c r="T153" s="15">
        <f>simulation!$B$1*((simulation!$B$4*data!R153)+(simulation!$B$5*data!S153))</f>
        <v>371.39514646587924</v>
      </c>
    </row>
    <row r="154" spans="1:20" x14ac:dyDescent="0.3">
      <c r="A154">
        <v>45582.666666666672</v>
      </c>
      <c r="B154">
        <v>585.91</v>
      </c>
      <c r="C154">
        <v>586.12</v>
      </c>
      <c r="D154">
        <v>582.16</v>
      </c>
      <c r="E154">
        <v>582.35</v>
      </c>
      <c r="F154">
        <v>34393714</v>
      </c>
      <c r="G154">
        <v>45582.666666666672</v>
      </c>
      <c r="H154">
        <v>73.989999999999995</v>
      </c>
      <c r="I154">
        <v>73.989999999999995</v>
      </c>
      <c r="J154">
        <v>73.760000000000005</v>
      </c>
      <c r="K154">
        <v>73.8</v>
      </c>
      <c r="L154">
        <v>4250518</v>
      </c>
      <c r="O154" s="8">
        <v>152</v>
      </c>
      <c r="P154" s="8">
        <f t="shared" si="8"/>
        <v>582.35</v>
      </c>
      <c r="Q154" s="8">
        <f t="shared" si="9"/>
        <v>73.8</v>
      </c>
      <c r="R154" s="21">
        <f t="shared" si="10"/>
        <v>-3.8317453257838982E-3</v>
      </c>
      <c r="S154" s="21">
        <f t="shared" si="11"/>
        <v>-5.4171180931752777E-4</v>
      </c>
      <c r="T154" s="15">
        <f>simulation!$B$1*((simulation!$B$4*data!R154)+(simulation!$B$5*data!S154))</f>
        <v>-251.573191919735</v>
      </c>
    </row>
    <row r="155" spans="1:20" x14ac:dyDescent="0.3">
      <c r="A155">
        <v>45581.666666666672</v>
      </c>
      <c r="B155">
        <v>579.78</v>
      </c>
      <c r="C155">
        <v>582.83000000000004</v>
      </c>
      <c r="D155">
        <v>578.96</v>
      </c>
      <c r="E155">
        <v>582.29999999999995</v>
      </c>
      <c r="F155">
        <v>30725436</v>
      </c>
      <c r="G155">
        <v>45581.666666666672</v>
      </c>
      <c r="H155">
        <v>74.14</v>
      </c>
      <c r="I155">
        <v>74.234999999999999</v>
      </c>
      <c r="J155">
        <v>74.11</v>
      </c>
      <c r="K155">
        <v>74.16</v>
      </c>
      <c r="L155">
        <v>7437810</v>
      </c>
      <c r="O155" s="8">
        <v>153</v>
      </c>
      <c r="P155" s="8">
        <f t="shared" si="8"/>
        <v>582.29999999999995</v>
      </c>
      <c r="Q155" s="8">
        <f t="shared" si="9"/>
        <v>74.16</v>
      </c>
      <c r="R155" s="21">
        <f t="shared" si="10"/>
        <v>-8.5859019490114552E-5</v>
      </c>
      <c r="S155" s="21">
        <f t="shared" si="11"/>
        <v>4.8780487804877971E-3</v>
      </c>
      <c r="T155" s="15">
        <f>simulation!$B$1*((simulation!$B$4*data!R155)+(simulation!$B$5*data!S155))</f>
        <v>189.97041005010502</v>
      </c>
    </row>
    <row r="156" spans="1:20" x14ac:dyDescent="0.3">
      <c r="A156">
        <v>45580.666666666672</v>
      </c>
      <c r="B156">
        <v>584.59</v>
      </c>
      <c r="C156">
        <v>584.9</v>
      </c>
      <c r="D156">
        <v>578.54499999999996</v>
      </c>
      <c r="E156">
        <v>579.78</v>
      </c>
      <c r="F156">
        <v>54203636</v>
      </c>
      <c r="G156">
        <v>45580.666666666672</v>
      </c>
      <c r="H156">
        <v>73.989999999999995</v>
      </c>
      <c r="I156">
        <v>74.09</v>
      </c>
      <c r="J156">
        <v>73.849999999999994</v>
      </c>
      <c r="K156">
        <v>74.06</v>
      </c>
      <c r="L156">
        <v>4456218</v>
      </c>
      <c r="O156" s="8">
        <v>154</v>
      </c>
      <c r="P156" s="8">
        <f t="shared" si="8"/>
        <v>579.78</v>
      </c>
      <c r="Q156" s="8">
        <f t="shared" si="9"/>
        <v>74.06</v>
      </c>
      <c r="R156" s="21">
        <f t="shared" si="10"/>
        <v>-4.3276661514682841E-3</v>
      </c>
      <c r="S156" s="21">
        <f t="shared" si="11"/>
        <v>-1.3484358144551553E-3</v>
      </c>
      <c r="T156" s="15">
        <f>simulation!$B$1*((simulation!$B$4*data!R156)+(simulation!$B$5*data!S156))</f>
        <v>-313.59740166630326</v>
      </c>
    </row>
    <row r="157" spans="1:20" x14ac:dyDescent="0.3">
      <c r="A157">
        <v>45579.666666666672</v>
      </c>
      <c r="B157">
        <v>581.22</v>
      </c>
      <c r="C157">
        <v>585.27</v>
      </c>
      <c r="D157">
        <v>580.73</v>
      </c>
      <c r="E157">
        <v>584.32000000000005</v>
      </c>
      <c r="F157">
        <v>36217215</v>
      </c>
      <c r="G157">
        <v>45579.666666666672</v>
      </c>
      <c r="H157">
        <v>73.599999999999994</v>
      </c>
      <c r="I157">
        <v>73.77</v>
      </c>
      <c r="J157">
        <v>73.58</v>
      </c>
      <c r="K157">
        <v>73.77</v>
      </c>
      <c r="L157">
        <v>3380218</v>
      </c>
      <c r="O157" s="8">
        <v>155</v>
      </c>
      <c r="P157" s="8">
        <f t="shared" si="8"/>
        <v>584.32000000000005</v>
      </c>
      <c r="Q157" s="8">
        <f t="shared" si="9"/>
        <v>73.77</v>
      </c>
      <c r="R157" s="21">
        <f t="shared" si="10"/>
        <v>7.8305564179517711E-3</v>
      </c>
      <c r="S157" s="21">
        <f t="shared" si="11"/>
        <v>-3.9157439913584426E-3</v>
      </c>
      <c r="T157" s="15">
        <f>simulation!$B$1*((simulation!$B$4*data!R157)+(simulation!$B$5*data!S157))</f>
        <v>313.2036254227686</v>
      </c>
    </row>
    <row r="158" spans="1:20" x14ac:dyDescent="0.3">
      <c r="A158">
        <v>45576.666666666672</v>
      </c>
      <c r="B158">
        <v>576.04999999999995</v>
      </c>
      <c r="C158">
        <v>580.33000000000004</v>
      </c>
      <c r="D158">
        <v>575.91</v>
      </c>
      <c r="E158">
        <v>579.58000000000004</v>
      </c>
      <c r="F158">
        <v>42267994</v>
      </c>
      <c r="G158">
        <v>45576.666666666672</v>
      </c>
      <c r="H158">
        <v>73.83</v>
      </c>
      <c r="I158">
        <v>73.92</v>
      </c>
      <c r="J158">
        <v>73.73</v>
      </c>
      <c r="K158">
        <v>73.819999999999993</v>
      </c>
      <c r="L158">
        <v>8508061</v>
      </c>
      <c r="O158" s="8">
        <v>156</v>
      </c>
      <c r="P158" s="8">
        <f t="shared" si="8"/>
        <v>579.58000000000004</v>
      </c>
      <c r="Q158" s="8">
        <f t="shared" si="9"/>
        <v>73.819999999999993</v>
      </c>
      <c r="R158" s="21">
        <f t="shared" si="10"/>
        <v>-8.1119934282585029E-3</v>
      </c>
      <c r="S158" s="21">
        <f t="shared" si="11"/>
        <v>6.7778229632638144E-4</v>
      </c>
      <c r="T158" s="15">
        <f>simulation!$B$1*((simulation!$B$4*data!R158)+(simulation!$B$5*data!S158))</f>
        <v>-459.60831384245495</v>
      </c>
    </row>
    <row r="159" spans="1:20" x14ac:dyDescent="0.3">
      <c r="A159">
        <v>45575.666666666672</v>
      </c>
      <c r="B159">
        <v>575.77</v>
      </c>
      <c r="C159">
        <v>577.58000000000004</v>
      </c>
      <c r="D159">
        <v>574.49</v>
      </c>
      <c r="E159">
        <v>576.13</v>
      </c>
      <c r="F159">
        <v>44138060</v>
      </c>
      <c r="G159">
        <v>45575.666666666672</v>
      </c>
      <c r="H159">
        <v>73.784999999999997</v>
      </c>
      <c r="I159">
        <v>73.849999999999994</v>
      </c>
      <c r="J159">
        <v>73.624499999999998</v>
      </c>
      <c r="K159">
        <v>73.81</v>
      </c>
      <c r="L159">
        <v>4579208</v>
      </c>
      <c r="O159" s="8">
        <v>157</v>
      </c>
      <c r="P159" s="8">
        <f t="shared" si="8"/>
        <v>576.13</v>
      </c>
      <c r="Q159" s="8">
        <f t="shared" si="9"/>
        <v>73.81</v>
      </c>
      <c r="R159" s="21">
        <f t="shared" si="10"/>
        <v>-5.9525863556369185E-3</v>
      </c>
      <c r="S159" s="21">
        <f t="shared" si="11"/>
        <v>-1.3546464372786381E-4</v>
      </c>
      <c r="T159" s="15">
        <f>simulation!$B$1*((simulation!$B$4*data!R159)+(simulation!$B$5*data!S159))</f>
        <v>-362.5737670873296</v>
      </c>
    </row>
    <row r="160" spans="1:20" x14ac:dyDescent="0.3">
      <c r="A160">
        <v>45574.666666666672</v>
      </c>
      <c r="B160">
        <v>573.16</v>
      </c>
      <c r="C160">
        <v>577.71</v>
      </c>
      <c r="D160">
        <v>572.54999999999995</v>
      </c>
      <c r="E160">
        <v>577.14</v>
      </c>
      <c r="F160">
        <v>37912244</v>
      </c>
      <c r="G160">
        <v>45574.666666666672</v>
      </c>
      <c r="H160">
        <v>73.94</v>
      </c>
      <c r="I160">
        <v>73.94</v>
      </c>
      <c r="J160">
        <v>73.8</v>
      </c>
      <c r="K160">
        <v>73.84</v>
      </c>
      <c r="L160">
        <v>4997940</v>
      </c>
      <c r="O160" s="8">
        <v>158</v>
      </c>
      <c r="P160" s="8">
        <f t="shared" si="8"/>
        <v>577.14</v>
      </c>
      <c r="Q160" s="8">
        <f t="shared" si="9"/>
        <v>73.84</v>
      </c>
      <c r="R160" s="21">
        <f t="shared" si="10"/>
        <v>1.753076562581346E-3</v>
      </c>
      <c r="S160" s="21">
        <f t="shared" si="11"/>
        <v>4.0644899065168862E-4</v>
      </c>
      <c r="T160" s="15">
        <f>simulation!$B$1*((simulation!$B$4*data!R160)+(simulation!$B$5*data!S160))</f>
        <v>121.4425533809483</v>
      </c>
    </row>
    <row r="161" spans="1:20" x14ac:dyDescent="0.3">
      <c r="A161">
        <v>45573.666666666672</v>
      </c>
      <c r="B161">
        <v>570.41999999999996</v>
      </c>
      <c r="C161">
        <v>573.78</v>
      </c>
      <c r="D161">
        <v>569.5299</v>
      </c>
      <c r="E161">
        <v>573.16999999999996</v>
      </c>
      <c r="F161">
        <v>37398693</v>
      </c>
      <c r="G161">
        <v>45573.666666666672</v>
      </c>
      <c r="H161">
        <v>73.88</v>
      </c>
      <c r="I161">
        <v>74.040000000000006</v>
      </c>
      <c r="J161">
        <v>73.819999999999993</v>
      </c>
      <c r="K161">
        <v>74.040000000000006</v>
      </c>
      <c r="L161">
        <v>8642430</v>
      </c>
      <c r="O161" s="8">
        <v>159</v>
      </c>
      <c r="P161" s="8">
        <f t="shared" si="8"/>
        <v>573.16999999999996</v>
      </c>
      <c r="Q161" s="8">
        <f t="shared" si="9"/>
        <v>74.040000000000006</v>
      </c>
      <c r="R161" s="21">
        <f t="shared" si="10"/>
        <v>-6.8787469244897727E-3</v>
      </c>
      <c r="S161" s="21">
        <f t="shared" si="11"/>
        <v>2.7085590465872542E-3</v>
      </c>
      <c r="T161" s="15">
        <f>simulation!$B$1*((simulation!$B$4*data!R161)+(simulation!$B$5*data!S161))</f>
        <v>-304.38245360589616</v>
      </c>
    </row>
    <row r="162" spans="1:20" x14ac:dyDescent="0.3">
      <c r="A162">
        <v>45572.666666666672</v>
      </c>
      <c r="B162">
        <v>571.29999999999995</v>
      </c>
      <c r="C162">
        <v>571.95989999999995</v>
      </c>
      <c r="D162">
        <v>566.63</v>
      </c>
      <c r="E162">
        <v>567.79999999999995</v>
      </c>
      <c r="F162">
        <v>49964690</v>
      </c>
      <c r="G162">
        <v>45572.666666666672</v>
      </c>
      <c r="H162">
        <v>73.94</v>
      </c>
      <c r="I162">
        <v>74.017600000000002</v>
      </c>
      <c r="J162">
        <v>73.89</v>
      </c>
      <c r="K162">
        <v>73.930000000000007</v>
      </c>
      <c r="L162">
        <v>7044161</v>
      </c>
      <c r="O162" s="8">
        <v>160</v>
      </c>
      <c r="P162" s="8">
        <f t="shared" si="8"/>
        <v>567.79999999999995</v>
      </c>
      <c r="Q162" s="8">
        <f t="shared" si="9"/>
        <v>73.930000000000007</v>
      </c>
      <c r="R162" s="21">
        <f t="shared" si="10"/>
        <v>-9.3689481305720898E-3</v>
      </c>
      <c r="S162" s="21">
        <f t="shared" si="11"/>
        <v>-1.4856834143706027E-3</v>
      </c>
      <c r="T162" s="15">
        <f>simulation!$B$1*((simulation!$B$4*data!R162)+(simulation!$B$5*data!S162))</f>
        <v>-621.56422440914946</v>
      </c>
    </row>
    <row r="163" spans="1:20" x14ac:dyDescent="0.3">
      <c r="A163">
        <v>45569.666666666672</v>
      </c>
      <c r="B163">
        <v>572.35</v>
      </c>
      <c r="C163">
        <v>573.36</v>
      </c>
      <c r="D163">
        <v>568.1</v>
      </c>
      <c r="E163">
        <v>572.98</v>
      </c>
      <c r="F163">
        <v>43005186</v>
      </c>
      <c r="G163">
        <v>45569.666666666672</v>
      </c>
      <c r="H163">
        <v>74.165000000000006</v>
      </c>
      <c r="I163">
        <v>74.295000000000002</v>
      </c>
      <c r="J163">
        <v>74.11</v>
      </c>
      <c r="K163">
        <v>74.150000000000006</v>
      </c>
      <c r="L163">
        <v>5227485</v>
      </c>
      <c r="O163" s="8">
        <v>161</v>
      </c>
      <c r="P163" s="8">
        <f t="shared" si="8"/>
        <v>572.98</v>
      </c>
      <c r="Q163" s="8">
        <f t="shared" si="9"/>
        <v>74.150000000000006</v>
      </c>
      <c r="R163" s="21">
        <f t="shared" si="10"/>
        <v>9.1229306093696099E-3</v>
      </c>
      <c r="S163" s="21">
        <f t="shared" si="11"/>
        <v>2.9757879074800331E-3</v>
      </c>
      <c r="T163" s="15">
        <f>simulation!$B$1*((simulation!$B$4*data!R163)+(simulation!$B$5*data!S163))</f>
        <v>666.40735286137794</v>
      </c>
    </row>
    <row r="164" spans="1:20" x14ac:dyDescent="0.3">
      <c r="A164">
        <v>45568.666666666672</v>
      </c>
      <c r="B164">
        <v>567.36</v>
      </c>
      <c r="C164">
        <v>569.80250000000001</v>
      </c>
      <c r="D164">
        <v>565.49</v>
      </c>
      <c r="E164">
        <v>567.82000000000005</v>
      </c>
      <c r="F164">
        <v>40846466</v>
      </c>
      <c r="G164">
        <v>45568.666666666672</v>
      </c>
      <c r="H164">
        <v>74.83</v>
      </c>
      <c r="I164">
        <v>74.849999999999994</v>
      </c>
      <c r="J164">
        <v>74.64</v>
      </c>
      <c r="K164">
        <v>74.64</v>
      </c>
      <c r="L164">
        <v>7733860</v>
      </c>
      <c r="O164" s="8">
        <v>162</v>
      </c>
      <c r="P164" s="8">
        <f t="shared" si="8"/>
        <v>567.82000000000005</v>
      </c>
      <c r="Q164" s="8">
        <f t="shared" si="9"/>
        <v>74.64</v>
      </c>
      <c r="R164" s="21">
        <f t="shared" si="10"/>
        <v>-9.005549931934741E-3</v>
      </c>
      <c r="S164" s="21">
        <f t="shared" si="11"/>
        <v>6.6082265677679681E-3</v>
      </c>
      <c r="T164" s="15">
        <f>simulation!$B$1*((simulation!$B$4*data!R164)+(simulation!$B$5*data!S164))</f>
        <v>-276.00393320536574</v>
      </c>
    </row>
    <row r="165" spans="1:20" x14ac:dyDescent="0.3">
      <c r="A165">
        <v>45567.666666666672</v>
      </c>
      <c r="B165">
        <v>567.71</v>
      </c>
      <c r="C165">
        <v>569.9</v>
      </c>
      <c r="D165">
        <v>565.27</v>
      </c>
      <c r="E165">
        <v>568.86</v>
      </c>
      <c r="F165">
        <v>38097798</v>
      </c>
      <c r="G165">
        <v>45567.666666666672</v>
      </c>
      <c r="H165">
        <v>74.849999999999994</v>
      </c>
      <c r="I165">
        <v>74.999899999999997</v>
      </c>
      <c r="J165">
        <v>74.77</v>
      </c>
      <c r="K165">
        <v>74.97</v>
      </c>
      <c r="L165">
        <v>6902546</v>
      </c>
      <c r="O165" s="8">
        <v>163</v>
      </c>
      <c r="P165" s="8">
        <f t="shared" si="8"/>
        <v>568.86</v>
      </c>
      <c r="Q165" s="8">
        <f t="shared" si="9"/>
        <v>74.97</v>
      </c>
      <c r="R165" s="21">
        <f t="shared" si="10"/>
        <v>1.8315663414461688E-3</v>
      </c>
      <c r="S165" s="21">
        <f t="shared" si="11"/>
        <v>4.421221864951746E-3</v>
      </c>
      <c r="T165" s="15">
        <f>simulation!$B$1*((simulation!$B$4*data!R165)+(simulation!$B$5*data!S165))</f>
        <v>286.74285508483996</v>
      </c>
    </row>
    <row r="166" spans="1:20" x14ac:dyDescent="0.3">
      <c r="A166">
        <v>45566.666666666672</v>
      </c>
      <c r="B166">
        <v>573.4</v>
      </c>
      <c r="C166">
        <v>574.06219999999996</v>
      </c>
      <c r="D166">
        <v>566</v>
      </c>
      <c r="E166">
        <v>568.62</v>
      </c>
      <c r="F166">
        <v>72668778</v>
      </c>
      <c r="G166">
        <v>45566.666666666672</v>
      </c>
      <c r="H166">
        <v>75.13</v>
      </c>
      <c r="I166">
        <v>75.260000000000005</v>
      </c>
      <c r="J166">
        <v>75.05</v>
      </c>
      <c r="K166">
        <v>75.11</v>
      </c>
      <c r="L166">
        <v>6267056</v>
      </c>
      <c r="O166" s="8">
        <v>164</v>
      </c>
      <c r="P166" s="8">
        <f t="shared" si="8"/>
        <v>568.62</v>
      </c>
      <c r="Q166" s="8">
        <f t="shared" si="9"/>
        <v>75.11</v>
      </c>
      <c r="R166" s="21">
        <f t="shared" si="10"/>
        <v>-4.2189642442781895E-4</v>
      </c>
      <c r="S166" s="21">
        <f t="shared" si="11"/>
        <v>1.8674136321195221E-3</v>
      </c>
      <c r="T166" s="15">
        <f>simulation!$B$1*((simulation!$B$4*data!R166)+(simulation!$B$5*data!S166))</f>
        <v>49.382759819111762</v>
      </c>
    </row>
    <row r="167" spans="1:20" x14ac:dyDescent="0.3">
      <c r="A167">
        <v>45565.666666666672</v>
      </c>
      <c r="B167">
        <v>570.41999999999996</v>
      </c>
      <c r="C167">
        <v>574.38</v>
      </c>
      <c r="D167">
        <v>568.08000000000004</v>
      </c>
      <c r="E167">
        <v>573.76</v>
      </c>
      <c r="F167">
        <v>63655448</v>
      </c>
      <c r="G167">
        <v>45565.666666666672</v>
      </c>
      <c r="H167">
        <v>75.25</v>
      </c>
      <c r="I167">
        <v>75.260000000000005</v>
      </c>
      <c r="J167">
        <v>75.03</v>
      </c>
      <c r="K167">
        <v>75.11</v>
      </c>
      <c r="L167">
        <v>5662767</v>
      </c>
      <c r="O167" s="8">
        <v>165</v>
      </c>
      <c r="P167" s="8">
        <f t="shared" si="8"/>
        <v>573.76</v>
      </c>
      <c r="Q167" s="8">
        <f t="shared" si="9"/>
        <v>75.11</v>
      </c>
      <c r="R167" s="21">
        <f t="shared" si="10"/>
        <v>9.0394287925151875E-3</v>
      </c>
      <c r="S167" s="21">
        <f t="shared" si="11"/>
        <v>0</v>
      </c>
      <c r="T167" s="15">
        <f>simulation!$B$1*((simulation!$B$4*data!R167)+(simulation!$B$5*data!S167))</f>
        <v>542.36572755091117</v>
      </c>
    </row>
    <row r="168" spans="1:20" x14ac:dyDescent="0.3">
      <c r="A168">
        <v>45562.666666666672</v>
      </c>
      <c r="B168">
        <v>573.39</v>
      </c>
      <c r="C168">
        <v>574.22</v>
      </c>
      <c r="D168">
        <v>570.41999999999996</v>
      </c>
      <c r="E168">
        <v>571.47</v>
      </c>
      <c r="F168">
        <v>42100928</v>
      </c>
      <c r="G168">
        <v>45562.666666666672</v>
      </c>
      <c r="H168">
        <v>75.23</v>
      </c>
      <c r="I168">
        <v>75.33</v>
      </c>
      <c r="J168">
        <v>75.153599999999997</v>
      </c>
      <c r="K168">
        <v>75.28</v>
      </c>
      <c r="L168">
        <v>3927955</v>
      </c>
      <c r="O168" s="8">
        <v>166</v>
      </c>
      <c r="P168" s="8">
        <f t="shared" si="8"/>
        <v>571.47</v>
      </c>
      <c r="Q168" s="8">
        <f t="shared" si="9"/>
        <v>75.28</v>
      </c>
      <c r="R168" s="21">
        <f t="shared" si="10"/>
        <v>-3.9912158393752856E-3</v>
      </c>
      <c r="S168" s="21">
        <f t="shared" si="11"/>
        <v>2.2633470909333205E-3</v>
      </c>
      <c r="T168" s="15">
        <f>simulation!$B$1*((simulation!$B$4*data!R168)+(simulation!$B$5*data!S168))</f>
        <v>-148.93906672518435</v>
      </c>
    </row>
    <row r="169" spans="1:20" x14ac:dyDescent="0.3">
      <c r="A169">
        <v>45561.666666666672</v>
      </c>
      <c r="B169">
        <v>574.38</v>
      </c>
      <c r="C169">
        <v>574.71</v>
      </c>
      <c r="D169">
        <v>569.9</v>
      </c>
      <c r="E169">
        <v>572.29999999999995</v>
      </c>
      <c r="F169">
        <v>48336004</v>
      </c>
      <c r="G169">
        <v>45561.666666666672</v>
      </c>
      <c r="H169">
        <v>75.14</v>
      </c>
      <c r="I169">
        <v>75.168800000000005</v>
      </c>
      <c r="J169">
        <v>74.924499999999995</v>
      </c>
      <c r="K169">
        <v>75.06</v>
      </c>
      <c r="L169">
        <v>4919731</v>
      </c>
      <c r="O169" s="8">
        <v>167</v>
      </c>
      <c r="P169" s="8">
        <f t="shared" si="8"/>
        <v>572.29999999999995</v>
      </c>
      <c r="Q169" s="8">
        <f t="shared" si="9"/>
        <v>75.06</v>
      </c>
      <c r="R169" s="21">
        <f t="shared" si="10"/>
        <v>1.4523947013840223E-3</v>
      </c>
      <c r="S169" s="21">
        <f t="shared" si="11"/>
        <v>-2.9224229543039167E-3</v>
      </c>
      <c r="T169" s="15">
        <f>simulation!$B$1*((simulation!$B$4*data!R169)+(simulation!$B$5*data!S169))</f>
        <v>-29.753236089115344</v>
      </c>
    </row>
    <row r="170" spans="1:20" x14ac:dyDescent="0.3">
      <c r="A170">
        <v>45560.666666666672</v>
      </c>
      <c r="B170">
        <v>571.14</v>
      </c>
      <c r="C170">
        <v>571.89</v>
      </c>
      <c r="D170">
        <v>568.91</v>
      </c>
      <c r="E170">
        <v>570.04</v>
      </c>
      <c r="F170">
        <v>38428587</v>
      </c>
      <c r="G170">
        <v>45560.666666666672</v>
      </c>
      <c r="H170">
        <v>75.23</v>
      </c>
      <c r="I170">
        <v>75.23</v>
      </c>
      <c r="J170">
        <v>75.06</v>
      </c>
      <c r="K170">
        <v>75.06</v>
      </c>
      <c r="L170">
        <v>4793082</v>
      </c>
      <c r="O170" s="8">
        <v>168</v>
      </c>
      <c r="P170" s="8">
        <f t="shared" si="8"/>
        <v>570.04</v>
      </c>
      <c r="Q170" s="8">
        <f t="shared" si="9"/>
        <v>75.06</v>
      </c>
      <c r="R170" s="21">
        <f t="shared" si="10"/>
        <v>-3.9489778088415009E-3</v>
      </c>
      <c r="S170" s="21">
        <f t="shared" si="11"/>
        <v>0</v>
      </c>
      <c r="T170" s="15">
        <f>simulation!$B$1*((simulation!$B$4*data!R170)+(simulation!$B$5*data!S170))</f>
        <v>-236.93866853049002</v>
      </c>
    </row>
    <row r="171" spans="1:20" x14ac:dyDescent="0.3">
      <c r="A171">
        <v>45559.666666666672</v>
      </c>
      <c r="B171">
        <v>570.48</v>
      </c>
      <c r="C171">
        <v>571.36</v>
      </c>
      <c r="D171">
        <v>567.6</v>
      </c>
      <c r="E171">
        <v>571.29999999999995</v>
      </c>
      <c r="F171">
        <v>46805672</v>
      </c>
      <c r="G171">
        <v>45559.666666666672</v>
      </c>
      <c r="H171">
        <v>75.12</v>
      </c>
      <c r="I171">
        <v>75.369900000000001</v>
      </c>
      <c r="J171">
        <v>75.064999999999998</v>
      </c>
      <c r="K171">
        <v>75.34</v>
      </c>
      <c r="L171">
        <v>5018084</v>
      </c>
      <c r="O171" s="8">
        <v>169</v>
      </c>
      <c r="P171" s="8">
        <f t="shared" si="8"/>
        <v>571.29999999999995</v>
      </c>
      <c r="Q171" s="8">
        <f t="shared" si="9"/>
        <v>75.34</v>
      </c>
      <c r="R171" s="21">
        <f t="shared" si="10"/>
        <v>2.2103712020208948E-3</v>
      </c>
      <c r="S171" s="21">
        <f t="shared" si="11"/>
        <v>3.7303490540900762E-3</v>
      </c>
      <c r="T171" s="15">
        <f>simulation!$B$1*((simulation!$B$4*data!R171)+(simulation!$B$5*data!S171))</f>
        <v>281.83623428485674</v>
      </c>
    </row>
    <row r="172" spans="1:20" x14ac:dyDescent="0.3">
      <c r="A172">
        <v>45558.666666666672</v>
      </c>
      <c r="B172">
        <v>569.34</v>
      </c>
      <c r="C172">
        <v>570.33249999999998</v>
      </c>
      <c r="D172">
        <v>568.1</v>
      </c>
      <c r="E172">
        <v>569.66999999999996</v>
      </c>
      <c r="F172">
        <v>44116922</v>
      </c>
      <c r="G172">
        <v>45558.666666666672</v>
      </c>
      <c r="H172">
        <v>75.180000000000007</v>
      </c>
      <c r="I172">
        <v>75.355800000000002</v>
      </c>
      <c r="J172">
        <v>75.045000000000002</v>
      </c>
      <c r="K172">
        <v>75.25</v>
      </c>
      <c r="L172">
        <v>6632527</v>
      </c>
      <c r="O172" s="8">
        <v>170</v>
      </c>
      <c r="P172" s="8">
        <f t="shared" si="8"/>
        <v>569.66999999999996</v>
      </c>
      <c r="Q172" s="8">
        <f t="shared" si="9"/>
        <v>75.25</v>
      </c>
      <c r="R172" s="21">
        <f t="shared" si="10"/>
        <v>-2.8531419569403039E-3</v>
      </c>
      <c r="S172" s="21">
        <f t="shared" si="11"/>
        <v>-1.1945845500398646E-3</v>
      </c>
      <c r="T172" s="15">
        <f>simulation!$B$1*((simulation!$B$4*data!R172)+(simulation!$B$5*data!S172))</f>
        <v>-218.97189941801281</v>
      </c>
    </row>
    <row r="173" spans="1:20" x14ac:dyDescent="0.3">
      <c r="A173">
        <v>45555.666666666672</v>
      </c>
      <c r="B173">
        <v>567.84</v>
      </c>
      <c r="C173">
        <v>569.30999999999995</v>
      </c>
      <c r="D173">
        <v>565.16999999999996</v>
      </c>
      <c r="E173">
        <v>568.25</v>
      </c>
      <c r="F173">
        <v>77503110</v>
      </c>
      <c r="G173">
        <v>45555.666666666672</v>
      </c>
      <c r="H173">
        <v>75.22</v>
      </c>
      <c r="I173">
        <v>75.39</v>
      </c>
      <c r="J173">
        <v>75.14</v>
      </c>
      <c r="K173">
        <v>75.3</v>
      </c>
      <c r="L173">
        <v>4265057</v>
      </c>
      <c r="O173" s="8">
        <v>171</v>
      </c>
      <c r="P173" s="8">
        <f t="shared" si="8"/>
        <v>568.25</v>
      </c>
      <c r="Q173" s="8">
        <f t="shared" si="9"/>
        <v>75.3</v>
      </c>
      <c r="R173" s="21">
        <f t="shared" si="10"/>
        <v>-2.4926711956044013E-3</v>
      </c>
      <c r="S173" s="21">
        <f t="shared" si="11"/>
        <v>6.6445182724248712E-4</v>
      </c>
      <c r="T173" s="15">
        <f>simulation!$B$1*((simulation!$B$4*data!R173)+(simulation!$B$5*data!S173))</f>
        <v>-122.9821986465646</v>
      </c>
    </row>
    <row r="174" spans="1:20" x14ac:dyDescent="0.3">
      <c r="A174">
        <v>45554.666666666672</v>
      </c>
      <c r="B174">
        <v>571.01</v>
      </c>
      <c r="C174">
        <v>572.88</v>
      </c>
      <c r="D174">
        <v>568.08000000000004</v>
      </c>
      <c r="E174">
        <v>570.98</v>
      </c>
      <c r="F174">
        <v>75315470</v>
      </c>
      <c r="G174">
        <v>45554.666666666672</v>
      </c>
      <c r="H174">
        <v>75.22</v>
      </c>
      <c r="I174">
        <v>75.349999999999994</v>
      </c>
      <c r="J174">
        <v>75.170100000000005</v>
      </c>
      <c r="K174">
        <v>75.31</v>
      </c>
      <c r="L174">
        <v>5135570</v>
      </c>
      <c r="O174" s="8">
        <v>172</v>
      </c>
      <c r="P174" s="8">
        <f t="shared" si="8"/>
        <v>570.98</v>
      </c>
      <c r="Q174" s="8">
        <f t="shared" si="9"/>
        <v>75.31</v>
      </c>
      <c r="R174" s="21">
        <f t="shared" si="10"/>
        <v>4.8042234931808502E-3</v>
      </c>
      <c r="S174" s="21">
        <f t="shared" si="11"/>
        <v>1.3280212483406529E-4</v>
      </c>
      <c r="T174" s="15">
        <f>simulation!$B$1*((simulation!$B$4*data!R174)+(simulation!$B$5*data!S174))</f>
        <v>293.56549458421358</v>
      </c>
    </row>
    <row r="175" spans="1:20" x14ac:dyDescent="0.3">
      <c r="A175">
        <v>45553.666666666672</v>
      </c>
      <c r="B175">
        <v>563.74</v>
      </c>
      <c r="C175">
        <v>568.69000000000005</v>
      </c>
      <c r="D175">
        <v>560.83000000000004</v>
      </c>
      <c r="E175">
        <v>561.4</v>
      </c>
      <c r="F175">
        <v>59044937</v>
      </c>
      <c r="G175">
        <v>45553.666666666672</v>
      </c>
      <c r="H175">
        <v>75.42</v>
      </c>
      <c r="I175">
        <v>75.67</v>
      </c>
      <c r="J175">
        <v>75.3</v>
      </c>
      <c r="K175">
        <v>75.31</v>
      </c>
      <c r="L175">
        <v>5695667</v>
      </c>
      <c r="O175" s="8">
        <v>173</v>
      </c>
      <c r="P175" s="8">
        <f t="shared" si="8"/>
        <v>561.4</v>
      </c>
      <c r="Q175" s="8">
        <f t="shared" si="9"/>
        <v>75.31</v>
      </c>
      <c r="R175" s="21">
        <f t="shared" si="10"/>
        <v>-1.6778170864128413E-2</v>
      </c>
      <c r="S175" s="21">
        <f t="shared" si="11"/>
        <v>0</v>
      </c>
      <c r="T175" s="15">
        <f>simulation!$B$1*((simulation!$B$4*data!R175)+(simulation!$B$5*data!S175))</f>
        <v>-1006.6902518477046</v>
      </c>
    </row>
    <row r="176" spans="1:20" x14ac:dyDescent="0.3">
      <c r="A176">
        <v>45552.666666666672</v>
      </c>
      <c r="B176">
        <v>565.1</v>
      </c>
      <c r="C176">
        <v>566.58000000000004</v>
      </c>
      <c r="D176">
        <v>560.79499999999996</v>
      </c>
      <c r="E176">
        <v>563.07000000000005</v>
      </c>
      <c r="F176">
        <v>49320970</v>
      </c>
      <c r="G176">
        <v>45552.666666666672</v>
      </c>
      <c r="H176">
        <v>75.64</v>
      </c>
      <c r="I176">
        <v>75.66</v>
      </c>
      <c r="J176">
        <v>75.5</v>
      </c>
      <c r="K176">
        <v>75.540000000000006</v>
      </c>
      <c r="L176">
        <v>5398434</v>
      </c>
      <c r="O176" s="8">
        <v>174</v>
      </c>
      <c r="P176" s="8">
        <f t="shared" si="8"/>
        <v>563.07000000000005</v>
      </c>
      <c r="Q176" s="8">
        <f t="shared" si="9"/>
        <v>75.540000000000006</v>
      </c>
      <c r="R176" s="21">
        <f t="shared" si="10"/>
        <v>2.9747060919132042E-3</v>
      </c>
      <c r="S176" s="21">
        <f t="shared" si="11"/>
        <v>3.0540432877440441E-3</v>
      </c>
      <c r="T176" s="15">
        <f>simulation!$B$1*((simulation!$B$4*data!R176)+(simulation!$B$5*data!S176))</f>
        <v>300.64409702455401</v>
      </c>
    </row>
    <row r="177" spans="1:20" x14ac:dyDescent="0.3">
      <c r="A177">
        <v>45551.666666666672</v>
      </c>
      <c r="B177">
        <v>561.74</v>
      </c>
      <c r="C177">
        <v>563.11</v>
      </c>
      <c r="D177">
        <v>559.9</v>
      </c>
      <c r="E177">
        <v>562.84</v>
      </c>
      <c r="F177">
        <v>36656122</v>
      </c>
      <c r="G177">
        <v>45551.666666666672</v>
      </c>
      <c r="H177">
        <v>75.5</v>
      </c>
      <c r="I177">
        <v>75.67</v>
      </c>
      <c r="J177">
        <v>75.44</v>
      </c>
      <c r="K177">
        <v>75.64</v>
      </c>
      <c r="L177">
        <v>4734885</v>
      </c>
      <c r="O177" s="8">
        <v>175</v>
      </c>
      <c r="P177" s="8">
        <f t="shared" si="8"/>
        <v>562.84</v>
      </c>
      <c r="Q177" s="8">
        <f t="shared" si="9"/>
        <v>75.64</v>
      </c>
      <c r="R177" s="21">
        <f t="shared" si="10"/>
        <v>-4.0847496758843156E-4</v>
      </c>
      <c r="S177" s="21">
        <f t="shared" si="11"/>
        <v>1.3238019592268244E-3</v>
      </c>
      <c r="T177" s="15">
        <f>simulation!$B$1*((simulation!$B$4*data!R177)+(simulation!$B$5*data!S177))</f>
        <v>28.443580313767082</v>
      </c>
    </row>
    <row r="178" spans="1:20" x14ac:dyDescent="0.3">
      <c r="A178">
        <v>45548.666666666672</v>
      </c>
      <c r="B178">
        <v>559.71</v>
      </c>
      <c r="C178">
        <v>563.03</v>
      </c>
      <c r="D178">
        <v>559.45000000000005</v>
      </c>
      <c r="E178">
        <v>562.01</v>
      </c>
      <c r="F178">
        <v>39310501</v>
      </c>
      <c r="G178">
        <v>45548.666666666672</v>
      </c>
      <c r="H178">
        <v>75.459999999999994</v>
      </c>
      <c r="I178">
        <v>75.52</v>
      </c>
      <c r="J178">
        <v>75.355000000000004</v>
      </c>
      <c r="K178">
        <v>75.44</v>
      </c>
      <c r="L178">
        <v>4786683</v>
      </c>
      <c r="O178" s="8">
        <v>176</v>
      </c>
      <c r="P178" s="8">
        <f t="shared" si="8"/>
        <v>562.01</v>
      </c>
      <c r="Q178" s="8">
        <f t="shared" si="9"/>
        <v>75.44</v>
      </c>
      <c r="R178" s="21">
        <f t="shared" si="10"/>
        <v>-1.4746642029707215E-3</v>
      </c>
      <c r="S178" s="21">
        <f t="shared" si="11"/>
        <v>-2.6441036488630732E-3</v>
      </c>
      <c r="T178" s="15">
        <f>simulation!$B$1*((simulation!$B$4*data!R178)+(simulation!$B$5*data!S178))</f>
        <v>-194.24399813276622</v>
      </c>
    </row>
    <row r="179" spans="1:20" x14ac:dyDescent="0.3">
      <c r="A179">
        <v>45547.666666666672</v>
      </c>
      <c r="B179">
        <v>555.01</v>
      </c>
      <c r="C179">
        <v>559.4</v>
      </c>
      <c r="D179">
        <v>552.74</v>
      </c>
      <c r="E179">
        <v>559.09</v>
      </c>
      <c r="F179">
        <v>51892735</v>
      </c>
      <c r="G179">
        <v>45547.666666666672</v>
      </c>
      <c r="H179">
        <v>75.33</v>
      </c>
      <c r="I179">
        <v>75.389899999999997</v>
      </c>
      <c r="J179">
        <v>75.19</v>
      </c>
      <c r="K179">
        <v>75.28</v>
      </c>
      <c r="L179">
        <v>5685918</v>
      </c>
      <c r="O179" s="8">
        <v>177</v>
      </c>
      <c r="P179" s="8">
        <f t="shared" si="8"/>
        <v>559.09</v>
      </c>
      <c r="Q179" s="8">
        <f t="shared" si="9"/>
        <v>75.28</v>
      </c>
      <c r="R179" s="21">
        <f t="shared" si="10"/>
        <v>-5.1956370883079646E-3</v>
      </c>
      <c r="S179" s="21">
        <f t="shared" si="11"/>
        <v>-2.1208907741250872E-3</v>
      </c>
      <c r="T179" s="15">
        <f>simulation!$B$1*((simulation!$B$4*data!R179)+(simulation!$B$5*data!S179))</f>
        <v>-396.57385626348139</v>
      </c>
    </row>
    <row r="180" spans="1:20" x14ac:dyDescent="0.3">
      <c r="A180">
        <v>45546.666666666672</v>
      </c>
      <c r="B180">
        <v>548.70000000000005</v>
      </c>
      <c r="C180">
        <v>555.36</v>
      </c>
      <c r="D180">
        <v>539.96</v>
      </c>
      <c r="E180">
        <v>554.41999999999996</v>
      </c>
      <c r="F180">
        <v>75248608</v>
      </c>
      <c r="G180">
        <v>45546.666666666672</v>
      </c>
      <c r="H180">
        <v>75.28</v>
      </c>
      <c r="I180">
        <v>75.510000000000005</v>
      </c>
      <c r="J180">
        <v>75.233900000000006</v>
      </c>
      <c r="K180">
        <v>75.36</v>
      </c>
      <c r="L180">
        <v>6470950</v>
      </c>
      <c r="O180" s="8">
        <v>178</v>
      </c>
      <c r="P180" s="8">
        <f t="shared" si="8"/>
        <v>554.41999999999996</v>
      </c>
      <c r="Q180" s="8">
        <f t="shared" si="9"/>
        <v>75.36</v>
      </c>
      <c r="R180" s="21">
        <f t="shared" si="10"/>
        <v>-8.3528591103401457E-3</v>
      </c>
      <c r="S180" s="21">
        <f t="shared" si="11"/>
        <v>1.0626992561104981E-3</v>
      </c>
      <c r="T180" s="15">
        <f>simulation!$B$1*((simulation!$B$4*data!R180)+(simulation!$B$5*data!S180))</f>
        <v>-458.66357637598884</v>
      </c>
    </row>
    <row r="181" spans="1:20" x14ac:dyDescent="0.3">
      <c r="A181">
        <v>45545.666666666672</v>
      </c>
      <c r="B181">
        <v>548.36</v>
      </c>
      <c r="C181">
        <v>549.15</v>
      </c>
      <c r="D181">
        <v>543.38</v>
      </c>
      <c r="E181">
        <v>548.79</v>
      </c>
      <c r="F181">
        <v>36394579</v>
      </c>
      <c r="G181">
        <v>45545.666666666672</v>
      </c>
      <c r="H181">
        <v>75.180000000000007</v>
      </c>
      <c r="I181">
        <v>75.42</v>
      </c>
      <c r="J181">
        <v>75.144400000000005</v>
      </c>
      <c r="K181">
        <v>75.400000000000006</v>
      </c>
      <c r="L181">
        <v>5653910</v>
      </c>
      <c r="O181" s="8">
        <v>179</v>
      </c>
      <c r="P181" s="8">
        <f t="shared" si="8"/>
        <v>548.79</v>
      </c>
      <c r="Q181" s="8">
        <f t="shared" si="9"/>
        <v>75.400000000000006</v>
      </c>
      <c r="R181" s="21">
        <f t="shared" si="10"/>
        <v>-1.0154756321922E-2</v>
      </c>
      <c r="S181" s="21">
        <f t="shared" si="11"/>
        <v>5.3078556263277932E-4</v>
      </c>
      <c r="T181" s="15">
        <f>simulation!$B$1*((simulation!$B$4*data!R181)+(simulation!$B$5*data!S181))</f>
        <v>-588.0539568100088</v>
      </c>
    </row>
    <row r="182" spans="1:20" x14ac:dyDescent="0.3">
      <c r="A182">
        <v>45544.666666666672</v>
      </c>
      <c r="B182">
        <v>544.65</v>
      </c>
      <c r="C182">
        <v>547.71</v>
      </c>
      <c r="D182">
        <v>542.67999999999995</v>
      </c>
      <c r="E182">
        <v>546.41</v>
      </c>
      <c r="F182">
        <v>40445822</v>
      </c>
      <c r="G182">
        <v>45544.666666666672</v>
      </c>
      <c r="H182">
        <v>75.03</v>
      </c>
      <c r="I182">
        <v>75.209999999999994</v>
      </c>
      <c r="J182">
        <v>74.94</v>
      </c>
      <c r="K182">
        <v>75.150000000000006</v>
      </c>
      <c r="L182">
        <v>5040891</v>
      </c>
      <c r="O182" s="8">
        <v>180</v>
      </c>
      <c r="P182" s="8">
        <f t="shared" si="8"/>
        <v>546.41</v>
      </c>
      <c r="Q182" s="8">
        <f t="shared" si="9"/>
        <v>75.150000000000006</v>
      </c>
      <c r="R182" s="21">
        <f t="shared" si="10"/>
        <v>-4.3368137174511117E-3</v>
      </c>
      <c r="S182" s="21">
        <f t="shared" si="11"/>
        <v>-3.315649867374005E-3</v>
      </c>
      <c r="T182" s="15">
        <f>simulation!$B$1*((simulation!$B$4*data!R182)+(simulation!$B$5*data!S182))</f>
        <v>-392.83481774202693</v>
      </c>
    </row>
    <row r="183" spans="1:20" x14ac:dyDescent="0.3">
      <c r="A183">
        <v>45541.666666666672</v>
      </c>
      <c r="B183">
        <v>549.94000000000005</v>
      </c>
      <c r="C183">
        <v>551.6</v>
      </c>
      <c r="D183">
        <v>539.44000000000005</v>
      </c>
      <c r="E183">
        <v>540.36</v>
      </c>
      <c r="F183">
        <v>68493805</v>
      </c>
      <c r="G183">
        <v>45541.666666666672</v>
      </c>
      <c r="H183">
        <v>75</v>
      </c>
      <c r="I183">
        <v>75.364999999999995</v>
      </c>
      <c r="J183">
        <v>74.87</v>
      </c>
      <c r="K183">
        <v>75.05</v>
      </c>
      <c r="L183">
        <v>22536011</v>
      </c>
      <c r="O183" s="8">
        <v>181</v>
      </c>
      <c r="P183" s="8">
        <f t="shared" si="8"/>
        <v>540.36</v>
      </c>
      <c r="Q183" s="8">
        <f t="shared" si="9"/>
        <v>75.05</v>
      </c>
      <c r="R183" s="21">
        <f t="shared" si="10"/>
        <v>-1.107227173734001E-2</v>
      </c>
      <c r="S183" s="21">
        <f t="shared" si="11"/>
        <v>-1.3306719893547375E-3</v>
      </c>
      <c r="T183" s="15">
        <f>simulation!$B$1*((simulation!$B$4*data!R183)+(simulation!$B$5*data!S183))</f>
        <v>-717.56318381459005</v>
      </c>
    </row>
    <row r="184" spans="1:20" x14ac:dyDescent="0.3">
      <c r="A184">
        <v>45540.666666666672</v>
      </c>
      <c r="B184">
        <v>550.89</v>
      </c>
      <c r="C184">
        <v>553.79949999999997</v>
      </c>
      <c r="D184">
        <v>547.1</v>
      </c>
      <c r="E184">
        <v>549.61</v>
      </c>
      <c r="F184">
        <v>44264258</v>
      </c>
      <c r="G184">
        <v>45540.666666666672</v>
      </c>
      <c r="H184">
        <v>74.930000000000007</v>
      </c>
      <c r="I184">
        <v>74.989999999999995</v>
      </c>
      <c r="J184">
        <v>74.73</v>
      </c>
      <c r="K184">
        <v>74.959999999999994</v>
      </c>
      <c r="L184">
        <v>9994338</v>
      </c>
      <c r="O184" s="8">
        <v>182</v>
      </c>
      <c r="P184" s="8">
        <f t="shared" si="8"/>
        <v>549.61</v>
      </c>
      <c r="Q184" s="8">
        <f t="shared" si="9"/>
        <v>74.959999999999994</v>
      </c>
      <c r="R184" s="21">
        <f t="shared" si="10"/>
        <v>1.7118217484639868E-2</v>
      </c>
      <c r="S184" s="21">
        <f t="shared" si="11"/>
        <v>-1.1992005329780602E-3</v>
      </c>
      <c r="T184" s="15">
        <f>simulation!$B$1*((simulation!$B$4*data!R184)+(simulation!$B$5*data!S184))</f>
        <v>979.12502775926953</v>
      </c>
    </row>
    <row r="185" spans="1:20" x14ac:dyDescent="0.3">
      <c r="A185">
        <v>45539.666666666672</v>
      </c>
      <c r="B185">
        <v>550.20000000000005</v>
      </c>
      <c r="C185">
        <v>554.42999999999995</v>
      </c>
      <c r="D185">
        <v>549.46</v>
      </c>
      <c r="E185">
        <v>550.95000000000005</v>
      </c>
      <c r="F185">
        <v>46232483</v>
      </c>
      <c r="G185">
        <v>45539.666666666672</v>
      </c>
      <c r="H185">
        <v>74.489999999999995</v>
      </c>
      <c r="I185">
        <v>74.81</v>
      </c>
      <c r="J185">
        <v>74.47</v>
      </c>
      <c r="K185">
        <v>74.78</v>
      </c>
      <c r="L185">
        <v>7337854</v>
      </c>
      <c r="O185" s="8">
        <v>183</v>
      </c>
      <c r="P185" s="8">
        <f t="shared" si="8"/>
        <v>550.95000000000005</v>
      </c>
      <c r="Q185" s="8">
        <f t="shared" si="9"/>
        <v>74.78</v>
      </c>
      <c r="R185" s="21">
        <f t="shared" si="10"/>
        <v>2.4380924655665504E-3</v>
      </c>
      <c r="S185" s="21">
        <f t="shared" si="11"/>
        <v>-2.4012806830308515E-3</v>
      </c>
      <c r="T185" s="15">
        <f>simulation!$B$1*((simulation!$B$4*data!R185)+(simulation!$B$5*data!S185))</f>
        <v>50.234320612758964</v>
      </c>
    </row>
    <row r="186" spans="1:20" x14ac:dyDescent="0.3">
      <c r="A186">
        <v>45538.666666666672</v>
      </c>
      <c r="B186">
        <v>560.47</v>
      </c>
      <c r="C186">
        <v>560.80999999999995</v>
      </c>
      <c r="D186">
        <v>549.51</v>
      </c>
      <c r="E186">
        <v>552.08000000000004</v>
      </c>
      <c r="F186">
        <v>60600113</v>
      </c>
      <c r="G186">
        <v>45538.666666666672</v>
      </c>
      <c r="H186">
        <v>74.41</v>
      </c>
      <c r="I186">
        <v>74.56</v>
      </c>
      <c r="J186">
        <v>74.334400000000002</v>
      </c>
      <c r="K186">
        <v>74.45</v>
      </c>
      <c r="L186">
        <v>6220122</v>
      </c>
      <c r="O186" s="8">
        <v>184</v>
      </c>
      <c r="P186" s="8">
        <f t="shared" si="8"/>
        <v>552.08000000000004</v>
      </c>
      <c r="Q186" s="8">
        <f t="shared" si="9"/>
        <v>74.45</v>
      </c>
      <c r="R186" s="21">
        <f t="shared" si="10"/>
        <v>2.0510028133224347E-3</v>
      </c>
      <c r="S186" s="21">
        <f t="shared" si="11"/>
        <v>-4.4129446376036142E-3</v>
      </c>
      <c r="T186" s="15">
        <f>simulation!$B$1*((simulation!$B$4*data!R186)+(simulation!$B$5*data!S186))</f>
        <v>-53.457616704798497</v>
      </c>
    </row>
    <row r="187" spans="1:20" x14ac:dyDescent="0.3">
      <c r="A187">
        <v>45534.666666666672</v>
      </c>
      <c r="B187">
        <v>560.77</v>
      </c>
      <c r="C187">
        <v>564.20000000000005</v>
      </c>
      <c r="D187">
        <v>557.14</v>
      </c>
      <c r="E187">
        <v>563.67999999999995</v>
      </c>
      <c r="F187">
        <v>62700110</v>
      </c>
      <c r="G187">
        <v>45534.666666666672</v>
      </c>
      <c r="H187">
        <v>74.55</v>
      </c>
      <c r="I187">
        <v>74.635000000000005</v>
      </c>
      <c r="J187">
        <v>74.319999999999993</v>
      </c>
      <c r="K187">
        <v>74.36</v>
      </c>
      <c r="L187">
        <v>5037509</v>
      </c>
      <c r="O187" s="8">
        <v>185</v>
      </c>
      <c r="P187" s="8">
        <f t="shared" si="8"/>
        <v>563.67999999999995</v>
      </c>
      <c r="Q187" s="8">
        <f t="shared" si="9"/>
        <v>74.36</v>
      </c>
      <c r="R187" s="21">
        <f t="shared" si="10"/>
        <v>2.1011447616287329E-2</v>
      </c>
      <c r="S187" s="21">
        <f t="shared" si="11"/>
        <v>-1.2088650100739208E-3</v>
      </c>
      <c r="T187" s="15">
        <f>simulation!$B$1*((simulation!$B$4*data!R187)+(simulation!$B$5*data!S187))</f>
        <v>1212.3322565742831</v>
      </c>
    </row>
    <row r="188" spans="1:20" x14ac:dyDescent="0.3">
      <c r="A188">
        <v>45533.666666666672</v>
      </c>
      <c r="B188">
        <v>560.30999999999995</v>
      </c>
      <c r="C188">
        <v>563.67999999999995</v>
      </c>
      <c r="D188">
        <v>557.17999999999995</v>
      </c>
      <c r="E188">
        <v>558.35</v>
      </c>
      <c r="F188">
        <v>38715176</v>
      </c>
      <c r="G188">
        <v>45533.666666666672</v>
      </c>
      <c r="H188">
        <v>74.510000000000005</v>
      </c>
      <c r="I188">
        <v>74.56</v>
      </c>
      <c r="J188">
        <v>74.416799999999995</v>
      </c>
      <c r="K188">
        <v>74.510000000000005</v>
      </c>
      <c r="L188">
        <v>3840845</v>
      </c>
      <c r="O188" s="8">
        <v>186</v>
      </c>
      <c r="P188" s="8">
        <f t="shared" si="8"/>
        <v>558.35</v>
      </c>
      <c r="Q188" s="8">
        <f t="shared" si="9"/>
        <v>74.510000000000005</v>
      </c>
      <c r="R188" s="21">
        <f t="shared" si="10"/>
        <v>-9.4557195571954439E-3</v>
      </c>
      <c r="S188" s="21">
        <f t="shared" si="11"/>
        <v>2.0172135556751707E-3</v>
      </c>
      <c r="T188" s="15">
        <f>simulation!$B$1*((simulation!$B$4*data!R188)+(simulation!$B$5*data!S188))</f>
        <v>-486.65463120471981</v>
      </c>
    </row>
    <row r="189" spans="1:20" x14ac:dyDescent="0.3">
      <c r="A189">
        <v>45532.666666666672</v>
      </c>
      <c r="B189">
        <v>561.21</v>
      </c>
      <c r="C189">
        <v>561.65</v>
      </c>
      <c r="D189">
        <v>555.04</v>
      </c>
      <c r="E189">
        <v>558.29999999999995</v>
      </c>
      <c r="F189">
        <v>41066024</v>
      </c>
      <c r="G189">
        <v>45532.666666666672</v>
      </c>
      <c r="H189">
        <v>74.67</v>
      </c>
      <c r="I189">
        <v>74.73</v>
      </c>
      <c r="J189">
        <v>74.599999999999994</v>
      </c>
      <c r="K189">
        <v>74.62</v>
      </c>
      <c r="L189">
        <v>5180149</v>
      </c>
      <c r="O189" s="8">
        <v>187</v>
      </c>
      <c r="P189" s="8">
        <f t="shared" si="8"/>
        <v>558.29999999999995</v>
      </c>
      <c r="Q189" s="8">
        <f t="shared" si="9"/>
        <v>74.62</v>
      </c>
      <c r="R189" s="21">
        <f t="shared" si="10"/>
        <v>-8.9549565684728598E-5</v>
      </c>
      <c r="S189" s="21">
        <f t="shared" si="11"/>
        <v>1.476311904442349E-3</v>
      </c>
      <c r="T189" s="15">
        <f>simulation!$B$1*((simulation!$B$4*data!R189)+(simulation!$B$5*data!S189))</f>
        <v>53.679502236610254</v>
      </c>
    </row>
    <row r="190" spans="1:20" x14ac:dyDescent="0.3">
      <c r="A190">
        <v>45531.666666666672</v>
      </c>
      <c r="B190">
        <v>559.49</v>
      </c>
      <c r="C190">
        <v>562.05999999999995</v>
      </c>
      <c r="D190">
        <v>558.32000000000005</v>
      </c>
      <c r="E190">
        <v>561.55999999999995</v>
      </c>
      <c r="F190">
        <v>32693898</v>
      </c>
      <c r="G190">
        <v>45531.666666666672</v>
      </c>
      <c r="H190">
        <v>74.510000000000005</v>
      </c>
      <c r="I190">
        <v>74.7</v>
      </c>
      <c r="J190">
        <v>74.489999999999995</v>
      </c>
      <c r="K190">
        <v>74.67</v>
      </c>
      <c r="L190">
        <v>3715873</v>
      </c>
      <c r="O190" s="8">
        <v>188</v>
      </c>
      <c r="P190" s="8">
        <f t="shared" si="8"/>
        <v>561.55999999999995</v>
      </c>
      <c r="Q190" s="8">
        <f t="shared" si="9"/>
        <v>74.67</v>
      </c>
      <c r="R190" s="21">
        <f t="shared" si="10"/>
        <v>5.8391545763926047E-3</v>
      </c>
      <c r="S190" s="21">
        <f t="shared" si="11"/>
        <v>6.700616456713636E-4</v>
      </c>
      <c r="T190" s="15">
        <f>simulation!$B$1*((simulation!$B$4*data!R190)+(simulation!$B$5*data!S190))</f>
        <v>377.15174041041081</v>
      </c>
    </row>
    <row r="191" spans="1:20" x14ac:dyDescent="0.3">
      <c r="A191">
        <v>45530.666666666672</v>
      </c>
      <c r="B191">
        <v>563.17999999999995</v>
      </c>
      <c r="C191">
        <v>563.91</v>
      </c>
      <c r="D191">
        <v>559.04999999999995</v>
      </c>
      <c r="E191">
        <v>560.79</v>
      </c>
      <c r="F191">
        <v>35788609</v>
      </c>
      <c r="G191">
        <v>45530.666666666672</v>
      </c>
      <c r="H191">
        <v>74.844999999999999</v>
      </c>
      <c r="I191">
        <v>74.849999999999994</v>
      </c>
      <c r="J191">
        <v>74.665000000000006</v>
      </c>
      <c r="K191">
        <v>74.67</v>
      </c>
      <c r="L191">
        <v>4427211</v>
      </c>
      <c r="O191" s="8">
        <v>189</v>
      </c>
      <c r="P191" s="8">
        <f t="shared" si="8"/>
        <v>560.79</v>
      </c>
      <c r="Q191" s="8">
        <f t="shared" si="9"/>
        <v>74.67</v>
      </c>
      <c r="R191" s="21">
        <f t="shared" si="10"/>
        <v>-1.3711802834959431E-3</v>
      </c>
      <c r="S191" s="21">
        <f t="shared" si="11"/>
        <v>0</v>
      </c>
      <c r="T191" s="15">
        <f>simulation!$B$1*((simulation!$B$4*data!R191)+(simulation!$B$5*data!S191))</f>
        <v>-82.270817009756584</v>
      </c>
    </row>
    <row r="192" spans="1:20" x14ac:dyDescent="0.3">
      <c r="A192">
        <v>45527.666666666672</v>
      </c>
      <c r="B192">
        <v>559.53</v>
      </c>
      <c r="C192">
        <v>563.09</v>
      </c>
      <c r="D192">
        <v>557.29</v>
      </c>
      <c r="E192">
        <v>562.13</v>
      </c>
      <c r="F192">
        <v>50639393</v>
      </c>
      <c r="G192">
        <v>45527.666666666672</v>
      </c>
      <c r="H192">
        <v>74.58</v>
      </c>
      <c r="I192">
        <v>74.78</v>
      </c>
      <c r="J192">
        <v>74.48</v>
      </c>
      <c r="K192">
        <v>74.75</v>
      </c>
      <c r="L192">
        <v>4291978</v>
      </c>
      <c r="O192" s="8">
        <v>190</v>
      </c>
      <c r="P192" s="8">
        <f t="shared" si="8"/>
        <v>562.13</v>
      </c>
      <c r="Q192" s="8">
        <f t="shared" si="9"/>
        <v>74.75</v>
      </c>
      <c r="R192" s="21">
        <f t="shared" si="10"/>
        <v>2.3894862604540595E-3</v>
      </c>
      <c r="S192" s="21">
        <f t="shared" si="11"/>
        <v>1.0713807419311409E-3</v>
      </c>
      <c r="T192" s="15">
        <f>simulation!$B$1*((simulation!$B$4*data!R192)+(simulation!$B$5*data!S192))</f>
        <v>186.22440530448921</v>
      </c>
    </row>
    <row r="193" spans="1:20" x14ac:dyDescent="0.3">
      <c r="A193">
        <v>45526.666666666672</v>
      </c>
      <c r="B193">
        <v>562.55999999999995</v>
      </c>
      <c r="C193">
        <v>563.17999999999995</v>
      </c>
      <c r="D193">
        <v>554.98</v>
      </c>
      <c r="E193">
        <v>556.22</v>
      </c>
      <c r="F193">
        <v>56121456</v>
      </c>
      <c r="G193">
        <v>45526.666666666672</v>
      </c>
      <c r="H193">
        <v>74.56</v>
      </c>
      <c r="I193">
        <v>74.579700000000003</v>
      </c>
      <c r="J193">
        <v>74.33</v>
      </c>
      <c r="K193">
        <v>74.42</v>
      </c>
      <c r="L193">
        <v>3999715</v>
      </c>
      <c r="O193" s="8">
        <v>191</v>
      </c>
      <c r="P193" s="8">
        <f t="shared" si="8"/>
        <v>556.22</v>
      </c>
      <c r="Q193" s="8">
        <f t="shared" si="9"/>
        <v>74.42</v>
      </c>
      <c r="R193" s="21">
        <f t="shared" si="10"/>
        <v>-1.0513582267446975E-2</v>
      </c>
      <c r="S193" s="21">
        <f t="shared" si="11"/>
        <v>-4.4147157190635227E-3</v>
      </c>
      <c r="T193" s="15">
        <f>simulation!$B$1*((simulation!$B$4*data!R193)+(simulation!$B$5*data!S193))</f>
        <v>-807.4035648093593</v>
      </c>
    </row>
    <row r="194" spans="1:20" x14ac:dyDescent="0.3">
      <c r="A194">
        <v>45525.666666666672</v>
      </c>
      <c r="B194">
        <v>559.77</v>
      </c>
      <c r="C194">
        <v>562.11</v>
      </c>
      <c r="D194">
        <v>554.73</v>
      </c>
      <c r="E194">
        <v>560.62</v>
      </c>
      <c r="F194">
        <v>41514600</v>
      </c>
      <c r="G194">
        <v>45525.666666666672</v>
      </c>
      <c r="H194">
        <v>74.650000000000006</v>
      </c>
      <c r="I194">
        <v>74.8399</v>
      </c>
      <c r="J194">
        <v>74.5</v>
      </c>
      <c r="K194">
        <v>74.72</v>
      </c>
      <c r="L194">
        <v>4541802</v>
      </c>
      <c r="O194" s="8">
        <v>192</v>
      </c>
      <c r="P194" s="8">
        <f t="shared" si="8"/>
        <v>560.62</v>
      </c>
      <c r="Q194" s="8">
        <f t="shared" si="9"/>
        <v>74.72</v>
      </c>
      <c r="R194" s="21">
        <f t="shared" si="10"/>
        <v>7.9105389953615067E-3</v>
      </c>
      <c r="S194" s="21">
        <f t="shared" si="11"/>
        <v>4.0311744154796717E-3</v>
      </c>
      <c r="T194" s="15">
        <f>simulation!$B$1*((simulation!$B$4*data!R194)+(simulation!$B$5*data!S194))</f>
        <v>635.87931634087727</v>
      </c>
    </row>
    <row r="195" spans="1:20" x14ac:dyDescent="0.3">
      <c r="A195">
        <v>45524.666666666672</v>
      </c>
      <c r="B195">
        <v>559.15</v>
      </c>
      <c r="C195">
        <v>560.84</v>
      </c>
      <c r="D195">
        <v>557.32500000000005</v>
      </c>
      <c r="E195">
        <v>558.70000000000005</v>
      </c>
      <c r="F195">
        <v>33732264</v>
      </c>
      <c r="G195">
        <v>45524.666666666672</v>
      </c>
      <c r="H195">
        <v>74.489999999999995</v>
      </c>
      <c r="I195">
        <v>74.58</v>
      </c>
      <c r="J195">
        <v>74.41</v>
      </c>
      <c r="K195">
        <v>74.56</v>
      </c>
      <c r="L195">
        <v>4444077</v>
      </c>
      <c r="O195" s="8">
        <v>193</v>
      </c>
      <c r="P195" s="8">
        <f t="shared" ref="P195:P254" si="12">E195</f>
        <v>558.70000000000005</v>
      </c>
      <c r="Q195" s="8">
        <f t="shared" ref="Q195:Q254" si="13">K195</f>
        <v>74.56</v>
      </c>
      <c r="R195" s="21">
        <f t="shared" si="10"/>
        <v>-3.4247797081801562E-3</v>
      </c>
      <c r="S195" s="21">
        <f t="shared" si="11"/>
        <v>-2.1413276231262929E-3</v>
      </c>
      <c r="T195" s="15">
        <f>simulation!$B$1*((simulation!$B$4*data!R195)+(simulation!$B$5*data!S195))</f>
        <v>-291.1398874158611</v>
      </c>
    </row>
    <row r="196" spans="1:20" x14ac:dyDescent="0.3">
      <c r="A196">
        <v>45523.666666666672</v>
      </c>
      <c r="B196">
        <v>554.73</v>
      </c>
      <c r="C196">
        <v>559.61</v>
      </c>
      <c r="D196">
        <v>553.86</v>
      </c>
      <c r="E196">
        <v>559.61</v>
      </c>
      <c r="F196">
        <v>39121793</v>
      </c>
      <c r="G196">
        <v>45523.666666666672</v>
      </c>
      <c r="H196">
        <v>74.239999999999995</v>
      </c>
      <c r="I196">
        <v>74.42</v>
      </c>
      <c r="J196">
        <v>74.209999999999994</v>
      </c>
      <c r="K196">
        <v>74.34</v>
      </c>
      <c r="L196">
        <v>4964699</v>
      </c>
      <c r="O196" s="8">
        <v>194</v>
      </c>
      <c r="P196" s="8">
        <f t="shared" si="12"/>
        <v>559.61</v>
      </c>
      <c r="Q196" s="8">
        <f t="shared" si="13"/>
        <v>74.34</v>
      </c>
      <c r="R196" s="21">
        <f t="shared" si="10"/>
        <v>1.6287810989797174E-3</v>
      </c>
      <c r="S196" s="21">
        <f t="shared" si="11"/>
        <v>-2.9506437768240189E-3</v>
      </c>
      <c r="T196" s="15">
        <f>simulation!$B$1*((simulation!$B$4*data!R196)+(simulation!$B$5*data!S196))</f>
        <v>-20.298885134177709</v>
      </c>
    </row>
    <row r="197" spans="1:20" x14ac:dyDescent="0.3">
      <c r="A197">
        <v>45520.666666666672</v>
      </c>
      <c r="B197">
        <v>551.41999999999996</v>
      </c>
      <c r="C197">
        <v>555.02</v>
      </c>
      <c r="D197">
        <v>551.26</v>
      </c>
      <c r="E197">
        <v>554.30999999999995</v>
      </c>
      <c r="F197">
        <v>44430728</v>
      </c>
      <c r="G197">
        <v>45520.666666666672</v>
      </c>
      <c r="H197">
        <v>74.22</v>
      </c>
      <c r="I197">
        <v>74.25</v>
      </c>
      <c r="J197">
        <v>74.0501</v>
      </c>
      <c r="K197">
        <v>74.25</v>
      </c>
      <c r="L197">
        <v>4647786</v>
      </c>
      <c r="O197" s="8">
        <v>195</v>
      </c>
      <c r="P197" s="8">
        <f t="shared" si="12"/>
        <v>554.30999999999995</v>
      </c>
      <c r="Q197" s="8">
        <f t="shared" si="13"/>
        <v>74.25</v>
      </c>
      <c r="R197" s="21">
        <f t="shared" ref="R197:R254" si="14">(P197-P196)/P196</f>
        <v>-9.4708815067637599E-3</v>
      </c>
      <c r="S197" s="21">
        <f t="shared" ref="S197:S254" si="15">(Q197-Q196)/Q196</f>
        <v>-1.2106537530266802E-3</v>
      </c>
      <c r="T197" s="15">
        <f>simulation!$B$1*((simulation!$B$4*data!R197)+(simulation!$B$5*data!S197))</f>
        <v>-616.67904052689278</v>
      </c>
    </row>
    <row r="198" spans="1:20" x14ac:dyDescent="0.3">
      <c r="A198">
        <v>45519.666666666672</v>
      </c>
      <c r="B198">
        <v>549.5</v>
      </c>
      <c r="C198">
        <v>553.36</v>
      </c>
      <c r="D198">
        <v>548.88</v>
      </c>
      <c r="E198">
        <v>553.07000000000005</v>
      </c>
      <c r="F198">
        <v>60846812</v>
      </c>
      <c r="G198">
        <v>45519.666666666672</v>
      </c>
      <c r="H198">
        <v>73.959999999999994</v>
      </c>
      <c r="I198">
        <v>74.09</v>
      </c>
      <c r="J198">
        <v>73.91</v>
      </c>
      <c r="K198">
        <v>74.09</v>
      </c>
      <c r="L198">
        <v>5108279</v>
      </c>
      <c r="O198" s="8">
        <v>196</v>
      </c>
      <c r="P198" s="8">
        <f t="shared" si="12"/>
        <v>553.07000000000005</v>
      </c>
      <c r="Q198" s="8">
        <f t="shared" si="13"/>
        <v>74.09</v>
      </c>
      <c r="R198" s="21">
        <f t="shared" si="14"/>
        <v>-2.2370153885008306E-3</v>
      </c>
      <c r="S198" s="21">
        <f t="shared" si="15"/>
        <v>-2.1548821548821088E-3</v>
      </c>
      <c r="T198" s="15">
        <f>simulation!$B$1*((simulation!$B$4*data!R198)+(simulation!$B$5*data!S198))</f>
        <v>-220.41620950533419</v>
      </c>
    </row>
    <row r="199" spans="1:20" x14ac:dyDescent="0.3">
      <c r="A199">
        <v>45518.666666666672</v>
      </c>
      <c r="B199">
        <v>542.85</v>
      </c>
      <c r="C199">
        <v>544.96</v>
      </c>
      <c r="D199">
        <v>540.12</v>
      </c>
      <c r="E199">
        <v>543.75</v>
      </c>
      <c r="F199">
        <v>42446929</v>
      </c>
      <c r="G199">
        <v>45518.666666666672</v>
      </c>
      <c r="H199">
        <v>74.31</v>
      </c>
      <c r="I199">
        <v>74.48</v>
      </c>
      <c r="J199">
        <v>74.260000000000005</v>
      </c>
      <c r="K199">
        <v>74.400000000000006</v>
      </c>
      <c r="L199">
        <v>6333773</v>
      </c>
      <c r="O199" s="8">
        <v>197</v>
      </c>
      <c r="P199" s="8">
        <f t="shared" si="12"/>
        <v>543.75</v>
      </c>
      <c r="Q199" s="8">
        <f t="shared" si="13"/>
        <v>74.400000000000006</v>
      </c>
      <c r="R199" s="21">
        <f t="shared" si="14"/>
        <v>-1.6851393132876577E-2</v>
      </c>
      <c r="S199" s="21">
        <f t="shared" si="15"/>
        <v>4.1841004184100727E-3</v>
      </c>
      <c r="T199" s="15">
        <f>simulation!$B$1*((simulation!$B$4*data!R199)+(simulation!$B$5*data!S199))</f>
        <v>-843.71957123619154</v>
      </c>
    </row>
    <row r="200" spans="1:20" x14ac:dyDescent="0.3">
      <c r="A200">
        <v>45517.666666666672</v>
      </c>
      <c r="B200">
        <v>536.53</v>
      </c>
      <c r="C200">
        <v>542.28</v>
      </c>
      <c r="D200">
        <v>536.28</v>
      </c>
      <c r="E200">
        <v>542.04</v>
      </c>
      <c r="F200">
        <v>52333073</v>
      </c>
      <c r="G200">
        <v>45517.666666666672</v>
      </c>
      <c r="H200">
        <v>74.19</v>
      </c>
      <c r="I200">
        <v>74.27</v>
      </c>
      <c r="J200">
        <v>74.14</v>
      </c>
      <c r="K200">
        <v>74.260000000000005</v>
      </c>
      <c r="L200">
        <v>4049064</v>
      </c>
      <c r="O200" s="8">
        <v>198</v>
      </c>
      <c r="P200" s="8">
        <f t="shared" si="12"/>
        <v>542.04</v>
      </c>
      <c r="Q200" s="8">
        <f t="shared" si="13"/>
        <v>74.260000000000005</v>
      </c>
      <c r="R200" s="21">
        <f t="shared" si="14"/>
        <v>-3.1448275862069634E-3</v>
      </c>
      <c r="S200" s="21">
        <f t="shared" si="15"/>
        <v>-1.8817204301075344E-3</v>
      </c>
      <c r="T200" s="15">
        <f>simulation!$B$1*((simulation!$B$4*data!R200)+(simulation!$B$5*data!S200))</f>
        <v>-263.95847237671916</v>
      </c>
    </row>
    <row r="201" spans="1:20" x14ac:dyDescent="0.3">
      <c r="A201">
        <v>45516.666666666672</v>
      </c>
      <c r="B201">
        <v>534.21</v>
      </c>
      <c r="C201">
        <v>535.73</v>
      </c>
      <c r="D201">
        <v>530.95000000000005</v>
      </c>
      <c r="E201">
        <v>533.27</v>
      </c>
      <c r="F201">
        <v>42542069</v>
      </c>
      <c r="G201">
        <v>45516.666666666672</v>
      </c>
      <c r="H201">
        <v>73.81</v>
      </c>
      <c r="I201">
        <v>74.019900000000007</v>
      </c>
      <c r="J201">
        <v>73.740300000000005</v>
      </c>
      <c r="K201">
        <v>73.98</v>
      </c>
      <c r="L201">
        <v>4823063</v>
      </c>
      <c r="O201" s="8">
        <v>199</v>
      </c>
      <c r="P201" s="8">
        <f t="shared" si="12"/>
        <v>533.27</v>
      </c>
      <c r="Q201" s="8">
        <f t="shared" si="13"/>
        <v>73.98</v>
      </c>
      <c r="R201" s="21">
        <f t="shared" si="14"/>
        <v>-1.617961774038813E-2</v>
      </c>
      <c r="S201" s="21">
        <f t="shared" si="15"/>
        <v>-3.7705359547535837E-3</v>
      </c>
      <c r="T201" s="15">
        <f>simulation!$B$1*((simulation!$B$4*data!R201)+(simulation!$B$5*data!S201))</f>
        <v>-1121.598502613431</v>
      </c>
    </row>
    <row r="202" spans="1:20" x14ac:dyDescent="0.3">
      <c r="A202">
        <v>45513.666666666672</v>
      </c>
      <c r="B202">
        <v>529.80999999999995</v>
      </c>
      <c r="C202">
        <v>534.51</v>
      </c>
      <c r="D202">
        <v>528.55999999999995</v>
      </c>
      <c r="E202">
        <v>532.99</v>
      </c>
      <c r="F202">
        <v>45619558</v>
      </c>
      <c r="G202">
        <v>45513.666666666672</v>
      </c>
      <c r="H202">
        <v>73.900000000000006</v>
      </c>
      <c r="I202">
        <v>73.939899999999994</v>
      </c>
      <c r="J202">
        <v>73.81</v>
      </c>
      <c r="K202">
        <v>73.849999999999994</v>
      </c>
      <c r="L202">
        <v>6093118</v>
      </c>
      <c r="O202" s="8">
        <v>200</v>
      </c>
      <c r="P202" s="8">
        <f t="shared" si="12"/>
        <v>532.99</v>
      </c>
      <c r="Q202" s="8">
        <f t="shared" si="13"/>
        <v>73.849999999999994</v>
      </c>
      <c r="R202" s="21">
        <f t="shared" si="14"/>
        <v>-5.2506235115414837E-4</v>
      </c>
      <c r="S202" s="21">
        <f t="shared" si="15"/>
        <v>-1.7572316842391141E-3</v>
      </c>
      <c r="T202" s="15">
        <f>simulation!$B$1*((simulation!$B$4*data!R202)+(simulation!$B$5*data!S202))</f>
        <v>-101.79300843881347</v>
      </c>
    </row>
    <row r="203" spans="1:20" x14ac:dyDescent="0.3">
      <c r="A203">
        <v>45512.666666666672</v>
      </c>
      <c r="B203">
        <v>523.91</v>
      </c>
      <c r="C203">
        <v>531.29</v>
      </c>
      <c r="D203">
        <v>521.84</v>
      </c>
      <c r="E203">
        <v>530.65</v>
      </c>
      <c r="F203">
        <v>63276589</v>
      </c>
      <c r="G203">
        <v>45512.666666666672</v>
      </c>
      <c r="H203">
        <v>73.5</v>
      </c>
      <c r="I203">
        <v>73.63</v>
      </c>
      <c r="J203">
        <v>73.474999999999994</v>
      </c>
      <c r="K203">
        <v>73.59</v>
      </c>
      <c r="L203">
        <v>4357510</v>
      </c>
      <c r="O203" s="8">
        <v>201</v>
      </c>
      <c r="P203" s="8">
        <f t="shared" si="12"/>
        <v>530.65</v>
      </c>
      <c r="Q203" s="8">
        <f t="shared" si="13"/>
        <v>73.59</v>
      </c>
      <c r="R203" s="21">
        <f t="shared" si="14"/>
        <v>-4.390326272538006E-3</v>
      </c>
      <c r="S203" s="21">
        <f t="shared" si="15"/>
        <v>-3.5206499661474735E-3</v>
      </c>
      <c r="T203" s="15">
        <f>simulation!$B$1*((simulation!$B$4*data!R203)+(simulation!$B$5*data!S203))</f>
        <v>-404.24557499817922</v>
      </c>
    </row>
    <row r="204" spans="1:20" x14ac:dyDescent="0.3">
      <c r="A204">
        <v>45511.666666666672</v>
      </c>
      <c r="B204">
        <v>528.47</v>
      </c>
      <c r="C204">
        <v>531.59</v>
      </c>
      <c r="D204">
        <v>518.05190000000005</v>
      </c>
      <c r="E204">
        <v>518.66</v>
      </c>
      <c r="F204">
        <v>70698340</v>
      </c>
      <c r="G204">
        <v>45511.666666666672</v>
      </c>
      <c r="H204">
        <v>73.81</v>
      </c>
      <c r="I204">
        <v>73.88</v>
      </c>
      <c r="J204">
        <v>73.59</v>
      </c>
      <c r="K204">
        <v>73.7</v>
      </c>
      <c r="L204">
        <v>5907301</v>
      </c>
      <c r="O204" s="8">
        <v>202</v>
      </c>
      <c r="P204" s="8">
        <f t="shared" si="12"/>
        <v>518.66</v>
      </c>
      <c r="Q204" s="8">
        <f t="shared" si="13"/>
        <v>73.7</v>
      </c>
      <c r="R204" s="21">
        <f t="shared" si="14"/>
        <v>-2.259493074531237E-2</v>
      </c>
      <c r="S204" s="21">
        <f t="shared" si="15"/>
        <v>1.4947683109118009E-3</v>
      </c>
      <c r="T204" s="15">
        <f>simulation!$B$1*((simulation!$B$4*data!R204)+(simulation!$B$5*data!S204))</f>
        <v>-1295.90511228227</v>
      </c>
    </row>
    <row r="205" spans="1:20" x14ac:dyDescent="0.3">
      <c r="A205">
        <v>45510.666666666672</v>
      </c>
      <c r="B205">
        <v>519.22</v>
      </c>
      <c r="C205">
        <v>529.75</v>
      </c>
      <c r="D205">
        <v>517.87</v>
      </c>
      <c r="E205">
        <v>522.15</v>
      </c>
      <c r="F205">
        <v>84826312</v>
      </c>
      <c r="G205">
        <v>45510.666666666672</v>
      </c>
      <c r="H205">
        <v>74.260000000000005</v>
      </c>
      <c r="I205">
        <v>74.28</v>
      </c>
      <c r="J205">
        <v>73.88</v>
      </c>
      <c r="K205">
        <v>73.88</v>
      </c>
      <c r="L205">
        <v>6484392</v>
      </c>
      <c r="O205" s="8">
        <v>203</v>
      </c>
      <c r="P205" s="8">
        <f t="shared" si="12"/>
        <v>522.15</v>
      </c>
      <c r="Q205" s="8">
        <f t="shared" si="13"/>
        <v>73.88</v>
      </c>
      <c r="R205" s="21">
        <f t="shared" si="14"/>
        <v>6.7288782632167685E-3</v>
      </c>
      <c r="S205" s="21">
        <f t="shared" si="15"/>
        <v>2.4423337856172675E-3</v>
      </c>
      <c r="T205" s="15">
        <f>simulation!$B$1*((simulation!$B$4*data!R205)+(simulation!$B$5*data!S205))</f>
        <v>501.42604721769681</v>
      </c>
    </row>
    <row r="206" spans="1:20" x14ac:dyDescent="0.3">
      <c r="A206">
        <v>45509.666666666672</v>
      </c>
      <c r="B206">
        <v>511.64</v>
      </c>
      <c r="C206">
        <v>523.58000000000004</v>
      </c>
      <c r="D206">
        <v>510.27</v>
      </c>
      <c r="E206">
        <v>517.38</v>
      </c>
      <c r="F206">
        <v>146267391</v>
      </c>
      <c r="G206">
        <v>45509.666666666672</v>
      </c>
      <c r="H206">
        <v>74.790000000000006</v>
      </c>
      <c r="I206">
        <v>74.8</v>
      </c>
      <c r="J206">
        <v>74.19</v>
      </c>
      <c r="K206">
        <v>74.34</v>
      </c>
      <c r="L206">
        <v>8354219</v>
      </c>
      <c r="O206" s="8">
        <v>204</v>
      </c>
      <c r="P206" s="8">
        <f t="shared" si="12"/>
        <v>517.38</v>
      </c>
      <c r="Q206" s="8">
        <f t="shared" si="13"/>
        <v>74.34</v>
      </c>
      <c r="R206" s="21">
        <f t="shared" si="14"/>
        <v>-9.1353059465670433E-3</v>
      </c>
      <c r="S206" s="21">
        <f t="shared" si="15"/>
        <v>6.2263129399026526E-3</v>
      </c>
      <c r="T206" s="15">
        <f>simulation!$B$1*((simulation!$B$4*data!R206)+(simulation!$B$5*data!S206))</f>
        <v>-299.06583919791649</v>
      </c>
    </row>
    <row r="207" spans="1:20" x14ac:dyDescent="0.3">
      <c r="A207">
        <v>45506.666666666672</v>
      </c>
      <c r="B207">
        <v>535.75</v>
      </c>
      <c r="C207">
        <v>536.99</v>
      </c>
      <c r="D207">
        <v>528.6</v>
      </c>
      <c r="E207">
        <v>532.9</v>
      </c>
      <c r="F207">
        <v>82789070</v>
      </c>
      <c r="G207">
        <v>45506.666666666672</v>
      </c>
      <c r="H207">
        <v>74.13</v>
      </c>
      <c r="I207">
        <v>74.438000000000002</v>
      </c>
      <c r="J207">
        <v>74</v>
      </c>
      <c r="K207">
        <v>74.41</v>
      </c>
      <c r="L207">
        <v>6476348</v>
      </c>
      <c r="O207" s="8">
        <v>205</v>
      </c>
      <c r="P207" s="8">
        <f t="shared" si="12"/>
        <v>532.9</v>
      </c>
      <c r="Q207" s="8">
        <f t="shared" si="13"/>
        <v>74.41</v>
      </c>
      <c r="R207" s="21">
        <f t="shared" si="14"/>
        <v>2.9997294058525612E-2</v>
      </c>
      <c r="S207" s="21">
        <f t="shared" si="15"/>
        <v>9.4161958568729053E-4</v>
      </c>
      <c r="T207" s="15">
        <f>simulation!$B$1*((simulation!$B$4*data!R207)+(simulation!$B$5*data!S207))</f>
        <v>1837.5024269390285</v>
      </c>
    </row>
    <row r="208" spans="1:20" x14ac:dyDescent="0.3">
      <c r="A208">
        <v>45505.666666666672</v>
      </c>
      <c r="B208">
        <v>552.57000000000005</v>
      </c>
      <c r="C208">
        <v>554.86879999999996</v>
      </c>
      <c r="D208">
        <v>539.42999999999995</v>
      </c>
      <c r="E208">
        <v>543.01</v>
      </c>
      <c r="F208">
        <v>76428732</v>
      </c>
      <c r="G208">
        <v>45505.666666666672</v>
      </c>
      <c r="H208">
        <v>73.5</v>
      </c>
      <c r="I208">
        <v>73.677300000000002</v>
      </c>
      <c r="J208">
        <v>73.44</v>
      </c>
      <c r="K208">
        <v>73.569999999999993</v>
      </c>
      <c r="L208">
        <v>8733738</v>
      </c>
      <c r="O208" s="8">
        <v>206</v>
      </c>
      <c r="P208" s="8">
        <f t="shared" si="12"/>
        <v>543.01</v>
      </c>
      <c r="Q208" s="8">
        <f t="shared" si="13"/>
        <v>73.569999999999993</v>
      </c>
      <c r="R208" s="21">
        <f t="shared" si="14"/>
        <v>1.8971664477387903E-2</v>
      </c>
      <c r="S208" s="21">
        <f t="shared" si="15"/>
        <v>-1.1288805268109171E-2</v>
      </c>
      <c r="T208" s="15">
        <f>simulation!$B$1*((simulation!$B$4*data!R208)+(simulation!$B$5*data!S208))</f>
        <v>686.74765791890718</v>
      </c>
    </row>
    <row r="209" spans="1:20" x14ac:dyDescent="0.3">
      <c r="A209">
        <v>45504.666666666672</v>
      </c>
      <c r="B209">
        <v>548.98</v>
      </c>
      <c r="C209">
        <v>553.5</v>
      </c>
      <c r="D209">
        <v>547.57989999999995</v>
      </c>
      <c r="E209">
        <v>550.80999999999995</v>
      </c>
      <c r="F209">
        <v>65663388</v>
      </c>
      <c r="G209">
        <v>45504.666666666672</v>
      </c>
      <c r="H209">
        <v>73.38</v>
      </c>
      <c r="I209">
        <v>73.52</v>
      </c>
      <c r="J209">
        <v>73.19</v>
      </c>
      <c r="K209">
        <v>73.52</v>
      </c>
      <c r="L209">
        <v>6041361</v>
      </c>
      <c r="O209" s="8">
        <v>207</v>
      </c>
      <c r="P209" s="8">
        <f t="shared" si="12"/>
        <v>550.80999999999995</v>
      </c>
      <c r="Q209" s="8">
        <f t="shared" si="13"/>
        <v>73.52</v>
      </c>
      <c r="R209" s="21">
        <f t="shared" si="14"/>
        <v>1.4364376346660199E-2</v>
      </c>
      <c r="S209" s="21">
        <f t="shared" si="15"/>
        <v>-6.7962484708437084E-4</v>
      </c>
      <c r="T209" s="15">
        <f>simulation!$B$1*((simulation!$B$4*data!R209)+(simulation!$B$5*data!S209))</f>
        <v>834.67758691623715</v>
      </c>
    </row>
    <row r="210" spans="1:20" x14ac:dyDescent="0.3">
      <c r="A210">
        <v>45503.666666666672</v>
      </c>
      <c r="B210">
        <v>546.26</v>
      </c>
      <c r="C210">
        <v>547.34</v>
      </c>
      <c r="D210">
        <v>538.51499999999999</v>
      </c>
      <c r="E210">
        <v>542</v>
      </c>
      <c r="F210">
        <v>46853632</v>
      </c>
      <c r="G210">
        <v>45503.666666666672</v>
      </c>
      <c r="H210">
        <v>73.14</v>
      </c>
      <c r="I210">
        <v>73.169899999999998</v>
      </c>
      <c r="J210">
        <v>72.965000000000003</v>
      </c>
      <c r="K210">
        <v>73.12</v>
      </c>
      <c r="L210">
        <v>4282517</v>
      </c>
      <c r="O210" s="8">
        <v>208</v>
      </c>
      <c r="P210" s="8">
        <f t="shared" si="12"/>
        <v>542</v>
      </c>
      <c r="Q210" s="8">
        <f t="shared" si="13"/>
        <v>73.12</v>
      </c>
      <c r="R210" s="21">
        <f t="shared" si="14"/>
        <v>-1.59946260961129E-2</v>
      </c>
      <c r="S210" s="21">
        <f t="shared" si="15"/>
        <v>-5.4406964091402539E-3</v>
      </c>
      <c r="T210" s="15">
        <f>simulation!$B$1*((simulation!$B$4*data!R210)+(simulation!$B$5*data!S210))</f>
        <v>-1177.3054221323841</v>
      </c>
    </row>
    <row r="211" spans="1:20" x14ac:dyDescent="0.3">
      <c r="A211">
        <v>45502.666666666672</v>
      </c>
      <c r="B211">
        <v>546.02</v>
      </c>
      <c r="C211">
        <v>547.04999999999995</v>
      </c>
      <c r="D211">
        <v>542.72</v>
      </c>
      <c r="E211">
        <v>544.76</v>
      </c>
      <c r="F211">
        <v>39515824</v>
      </c>
      <c r="G211">
        <v>45502.666666666672</v>
      </c>
      <c r="H211">
        <v>73.05</v>
      </c>
      <c r="I211">
        <v>73.14</v>
      </c>
      <c r="J211">
        <v>72.959999999999994</v>
      </c>
      <c r="K211">
        <v>73.03</v>
      </c>
      <c r="L211">
        <v>5184998</v>
      </c>
      <c r="O211" s="8">
        <v>209</v>
      </c>
      <c r="P211" s="8">
        <f t="shared" si="12"/>
        <v>544.76</v>
      </c>
      <c r="Q211" s="8">
        <f t="shared" si="13"/>
        <v>73.03</v>
      </c>
      <c r="R211" s="21">
        <f t="shared" si="14"/>
        <v>5.0922509225092083E-3</v>
      </c>
      <c r="S211" s="21">
        <f t="shared" si="15"/>
        <v>-1.230853391684948E-3</v>
      </c>
      <c r="T211" s="15">
        <f>simulation!$B$1*((simulation!$B$4*data!R211)+(simulation!$B$5*data!S211))</f>
        <v>256.30091968315458</v>
      </c>
    </row>
    <row r="212" spans="1:20" x14ac:dyDescent="0.3">
      <c r="A212">
        <v>45499.666666666672</v>
      </c>
      <c r="B212">
        <v>542.28</v>
      </c>
      <c r="C212">
        <v>547.19000000000005</v>
      </c>
      <c r="D212">
        <v>541.49</v>
      </c>
      <c r="E212">
        <v>544.44000000000005</v>
      </c>
      <c r="F212">
        <v>53763788</v>
      </c>
      <c r="G212">
        <v>45499.666666666672</v>
      </c>
      <c r="H212">
        <v>72.89</v>
      </c>
      <c r="I212">
        <v>72.959999999999994</v>
      </c>
      <c r="J212">
        <v>72.84</v>
      </c>
      <c r="K212">
        <v>72.94</v>
      </c>
      <c r="L212">
        <v>3692765</v>
      </c>
      <c r="O212" s="8">
        <v>210</v>
      </c>
      <c r="P212" s="8">
        <f t="shared" si="12"/>
        <v>544.44000000000005</v>
      </c>
      <c r="Q212" s="8">
        <f t="shared" si="13"/>
        <v>72.94</v>
      </c>
      <c r="R212" s="21">
        <f t="shared" si="14"/>
        <v>-5.8741464130981783E-4</v>
      </c>
      <c r="S212" s="21">
        <f t="shared" si="15"/>
        <v>-1.2323702587978011E-3</v>
      </c>
      <c r="T212" s="15">
        <f>simulation!$B$1*((simulation!$B$4*data!R212)+(simulation!$B$5*data!S212))</f>
        <v>-84.53968883050112</v>
      </c>
    </row>
    <row r="213" spans="1:20" x14ac:dyDescent="0.3">
      <c r="A213">
        <v>45498.666666666672</v>
      </c>
      <c r="B213">
        <v>541.35</v>
      </c>
      <c r="C213">
        <v>547.45500000000004</v>
      </c>
      <c r="D213">
        <v>537.45000000000005</v>
      </c>
      <c r="E213">
        <v>538.41</v>
      </c>
      <c r="F213">
        <v>61158288</v>
      </c>
      <c r="G213">
        <v>45498.666666666672</v>
      </c>
      <c r="H213">
        <v>72.569999999999993</v>
      </c>
      <c r="I213">
        <v>72.81</v>
      </c>
      <c r="J213">
        <v>72.569999999999993</v>
      </c>
      <c r="K213">
        <v>72.650000000000006</v>
      </c>
      <c r="L213">
        <v>4567668</v>
      </c>
      <c r="O213" s="8">
        <v>211</v>
      </c>
      <c r="P213" s="8">
        <f t="shared" si="12"/>
        <v>538.41</v>
      </c>
      <c r="Q213" s="8">
        <f t="shared" si="13"/>
        <v>72.650000000000006</v>
      </c>
      <c r="R213" s="21">
        <f t="shared" si="14"/>
        <v>-1.1075600617148053E-2</v>
      </c>
      <c r="S213" s="21">
        <f t="shared" si="15"/>
        <v>-3.9758705785576101E-3</v>
      </c>
      <c r="T213" s="15">
        <f>simulation!$B$1*((simulation!$B$4*data!R213)+(simulation!$B$5*data!S213))</f>
        <v>-823.57086017118763</v>
      </c>
    </row>
    <row r="214" spans="1:20" x14ac:dyDescent="0.3">
      <c r="A214">
        <v>45497.666666666672</v>
      </c>
      <c r="B214">
        <v>548.86</v>
      </c>
      <c r="C214">
        <v>549.16999999999996</v>
      </c>
      <c r="D214">
        <v>540.29</v>
      </c>
      <c r="E214">
        <v>541.23</v>
      </c>
      <c r="F214">
        <v>74515266</v>
      </c>
      <c r="G214">
        <v>45497.666666666672</v>
      </c>
      <c r="H214">
        <v>72.790000000000006</v>
      </c>
      <c r="I214">
        <v>72.84</v>
      </c>
      <c r="J214">
        <v>72.489999999999995</v>
      </c>
      <c r="K214">
        <v>72.489999999999995</v>
      </c>
      <c r="L214">
        <v>5080209</v>
      </c>
      <c r="O214" s="8">
        <v>212</v>
      </c>
      <c r="P214" s="8">
        <f t="shared" si="12"/>
        <v>541.23</v>
      </c>
      <c r="Q214" s="8">
        <f t="shared" si="13"/>
        <v>72.489999999999995</v>
      </c>
      <c r="R214" s="21">
        <f t="shared" si="14"/>
        <v>5.2376441745139394E-3</v>
      </c>
      <c r="S214" s="21">
        <f t="shared" si="15"/>
        <v>-2.2023399862355236E-3</v>
      </c>
      <c r="T214" s="15">
        <f>simulation!$B$1*((simulation!$B$4*data!R214)+(simulation!$B$5*data!S214))</f>
        <v>226.16505102141539</v>
      </c>
    </row>
    <row r="215" spans="1:20" x14ac:dyDescent="0.3">
      <c r="A215">
        <v>45496.666666666672</v>
      </c>
      <c r="B215">
        <v>554.54</v>
      </c>
      <c r="C215">
        <v>556.73500000000001</v>
      </c>
      <c r="D215">
        <v>553.27499999999998</v>
      </c>
      <c r="E215">
        <v>553.78</v>
      </c>
      <c r="F215">
        <v>34439561</v>
      </c>
      <c r="G215">
        <v>45496.666666666672</v>
      </c>
      <c r="H215">
        <v>72.730400000000003</v>
      </c>
      <c r="I215">
        <v>72.834999999999994</v>
      </c>
      <c r="J215">
        <v>72.69</v>
      </c>
      <c r="K215">
        <v>72.7</v>
      </c>
      <c r="L215">
        <v>6981838</v>
      </c>
      <c r="O215" s="8">
        <v>213</v>
      </c>
      <c r="P215" s="8">
        <f t="shared" si="12"/>
        <v>553.78</v>
      </c>
      <c r="Q215" s="8">
        <f t="shared" si="13"/>
        <v>72.7</v>
      </c>
      <c r="R215" s="21">
        <f t="shared" si="14"/>
        <v>2.3187923803188949E-2</v>
      </c>
      <c r="S215" s="21">
        <f t="shared" si="15"/>
        <v>2.8969513036281964E-3</v>
      </c>
      <c r="T215" s="15">
        <f>simulation!$B$1*((simulation!$B$4*data!R215)+(simulation!$B$5*data!S215))</f>
        <v>1507.1534803364646</v>
      </c>
    </row>
    <row r="216" spans="1:20" x14ac:dyDescent="0.3">
      <c r="A216">
        <v>45495.666666666672</v>
      </c>
      <c r="B216">
        <v>553</v>
      </c>
      <c r="C216">
        <v>555.27</v>
      </c>
      <c r="D216">
        <v>551.02</v>
      </c>
      <c r="E216">
        <v>554.65</v>
      </c>
      <c r="F216">
        <v>43346720</v>
      </c>
      <c r="G216">
        <v>45495.666666666672</v>
      </c>
      <c r="H216">
        <v>72.83</v>
      </c>
      <c r="I216">
        <v>72.849999999999994</v>
      </c>
      <c r="J216">
        <v>72.599999999999994</v>
      </c>
      <c r="K216">
        <v>72.69</v>
      </c>
      <c r="L216">
        <v>5055740</v>
      </c>
      <c r="O216" s="8">
        <v>214</v>
      </c>
      <c r="P216" s="8">
        <f t="shared" si="12"/>
        <v>554.65</v>
      </c>
      <c r="Q216" s="8">
        <f t="shared" si="13"/>
        <v>72.69</v>
      </c>
      <c r="R216" s="21">
        <f t="shared" si="14"/>
        <v>1.5710209830618741E-3</v>
      </c>
      <c r="S216" s="21">
        <f t="shared" si="15"/>
        <v>-1.3755158184326156E-4</v>
      </c>
      <c r="T216" s="15">
        <f>simulation!$B$1*((simulation!$B$4*data!R216)+(simulation!$B$5*data!S216))</f>
        <v>88.759195709981981</v>
      </c>
    </row>
    <row r="217" spans="1:20" x14ac:dyDescent="0.3">
      <c r="A217">
        <v>45492.666666666672</v>
      </c>
      <c r="B217">
        <v>552.41999999999996</v>
      </c>
      <c r="C217">
        <v>554.08000000000004</v>
      </c>
      <c r="D217">
        <v>547.91</v>
      </c>
      <c r="E217">
        <v>548.99</v>
      </c>
      <c r="F217">
        <v>65509081</v>
      </c>
      <c r="G217">
        <v>45492.666666666672</v>
      </c>
      <c r="H217">
        <v>72.989999999999995</v>
      </c>
      <c r="I217">
        <v>72.989999999999995</v>
      </c>
      <c r="J217">
        <v>72.7</v>
      </c>
      <c r="K217">
        <v>72.72</v>
      </c>
      <c r="L217">
        <v>5593079</v>
      </c>
      <c r="O217" s="8">
        <v>215</v>
      </c>
      <c r="P217" s="8">
        <f t="shared" si="12"/>
        <v>548.99</v>
      </c>
      <c r="Q217" s="8">
        <f t="shared" si="13"/>
        <v>72.72</v>
      </c>
      <c r="R217" s="21">
        <f t="shared" si="14"/>
        <v>-1.020463355269083E-2</v>
      </c>
      <c r="S217" s="21">
        <f t="shared" si="15"/>
        <v>4.1271151465127441E-4</v>
      </c>
      <c r="T217" s="15">
        <f>simulation!$B$1*((simulation!$B$4*data!R217)+(simulation!$B$5*data!S217))</f>
        <v>-595.76955257539885</v>
      </c>
    </row>
    <row r="218" spans="1:20" x14ac:dyDescent="0.3">
      <c r="A218">
        <v>45491.666666666672</v>
      </c>
      <c r="B218">
        <v>558.51</v>
      </c>
      <c r="C218">
        <v>559.52</v>
      </c>
      <c r="D218">
        <v>550.42999999999995</v>
      </c>
      <c r="E218">
        <v>552.66</v>
      </c>
      <c r="F218">
        <v>56270392</v>
      </c>
      <c r="G218">
        <v>45491.666666666672</v>
      </c>
      <c r="H218">
        <v>72.98</v>
      </c>
      <c r="I218">
        <v>73.105000000000004</v>
      </c>
      <c r="J218">
        <v>72.87</v>
      </c>
      <c r="K218">
        <v>72.91</v>
      </c>
      <c r="L218">
        <v>7673696</v>
      </c>
      <c r="O218" s="8">
        <v>216</v>
      </c>
      <c r="P218" s="8">
        <f t="shared" si="12"/>
        <v>552.66</v>
      </c>
      <c r="Q218" s="8">
        <f t="shared" si="13"/>
        <v>72.91</v>
      </c>
      <c r="R218" s="21">
        <f t="shared" si="14"/>
        <v>6.6850033698245123E-3</v>
      </c>
      <c r="S218" s="21">
        <f t="shared" si="15"/>
        <v>2.6127612761275816E-3</v>
      </c>
      <c r="T218" s="15">
        <f>simulation!$B$1*((simulation!$B$4*data!R218)+(simulation!$B$5*data!S218))</f>
        <v>505.61065323457399</v>
      </c>
    </row>
    <row r="219" spans="1:20" x14ac:dyDescent="0.3">
      <c r="A219">
        <v>45490.666666666672</v>
      </c>
      <c r="B219">
        <v>558.79999999999995</v>
      </c>
      <c r="C219">
        <v>560.51</v>
      </c>
      <c r="D219">
        <v>556.61</v>
      </c>
      <c r="E219">
        <v>556.94000000000005</v>
      </c>
      <c r="F219">
        <v>57118956</v>
      </c>
      <c r="G219">
        <v>45490.666666666672</v>
      </c>
      <c r="H219">
        <v>72.94</v>
      </c>
      <c r="I219">
        <v>73.14</v>
      </c>
      <c r="J219">
        <v>72.89</v>
      </c>
      <c r="K219">
        <v>73.099999999999994</v>
      </c>
      <c r="L219">
        <v>8365098</v>
      </c>
      <c r="O219" s="8">
        <v>217</v>
      </c>
      <c r="P219" s="8">
        <f t="shared" si="12"/>
        <v>556.94000000000005</v>
      </c>
      <c r="Q219" s="8">
        <f t="shared" si="13"/>
        <v>73.099999999999994</v>
      </c>
      <c r="R219" s="21">
        <f t="shared" si="14"/>
        <v>7.744363623204297E-3</v>
      </c>
      <c r="S219" s="21">
        <f t="shared" si="15"/>
        <v>2.6059525442325847E-3</v>
      </c>
      <c r="T219" s="15">
        <f>simulation!$B$1*((simulation!$B$4*data!R219)+(simulation!$B$5*data!S219))</f>
        <v>568.89991916156112</v>
      </c>
    </row>
    <row r="220" spans="1:20" x14ac:dyDescent="0.3">
      <c r="A220">
        <v>45489.666666666672</v>
      </c>
      <c r="B220">
        <v>562.86500000000001</v>
      </c>
      <c r="C220">
        <v>565.16</v>
      </c>
      <c r="D220">
        <v>562.1</v>
      </c>
      <c r="E220">
        <v>564.86</v>
      </c>
      <c r="F220">
        <v>36475260</v>
      </c>
      <c r="G220">
        <v>45489.666666666672</v>
      </c>
      <c r="H220">
        <v>72.819999999999993</v>
      </c>
      <c r="I220">
        <v>73.040000000000006</v>
      </c>
      <c r="J220">
        <v>72.81</v>
      </c>
      <c r="K220">
        <v>73.03</v>
      </c>
      <c r="L220">
        <v>4636607</v>
      </c>
      <c r="O220" s="8">
        <v>218</v>
      </c>
      <c r="P220" s="8">
        <f t="shared" si="12"/>
        <v>564.86</v>
      </c>
      <c r="Q220" s="8">
        <f t="shared" si="13"/>
        <v>73.03</v>
      </c>
      <c r="R220" s="21">
        <f t="shared" si="14"/>
        <v>1.4220562358602288E-2</v>
      </c>
      <c r="S220" s="21">
        <f t="shared" si="15"/>
        <v>-9.5759233926119266E-4</v>
      </c>
      <c r="T220" s="15">
        <f>simulation!$B$1*((simulation!$B$4*data!R220)+(simulation!$B$5*data!S220))</f>
        <v>814.93004794568947</v>
      </c>
    </row>
    <row r="221" spans="1:20" x14ac:dyDescent="0.3">
      <c r="A221">
        <v>45488.666666666672</v>
      </c>
      <c r="B221">
        <v>562.03</v>
      </c>
      <c r="C221">
        <v>564.83709999999996</v>
      </c>
      <c r="D221">
        <v>559.63</v>
      </c>
      <c r="E221">
        <v>561.53</v>
      </c>
      <c r="F221">
        <v>40584293</v>
      </c>
      <c r="G221">
        <v>45488.666666666672</v>
      </c>
      <c r="H221">
        <v>72.81</v>
      </c>
      <c r="I221">
        <v>72.91</v>
      </c>
      <c r="J221">
        <v>72.73</v>
      </c>
      <c r="K221">
        <v>72.75</v>
      </c>
      <c r="L221">
        <v>4557193</v>
      </c>
      <c r="O221" s="8">
        <v>219</v>
      </c>
      <c r="P221" s="8">
        <f t="shared" si="12"/>
        <v>561.53</v>
      </c>
      <c r="Q221" s="8">
        <f t="shared" si="13"/>
        <v>72.75</v>
      </c>
      <c r="R221" s="21">
        <f t="shared" si="14"/>
        <v>-5.8952660836314149E-3</v>
      </c>
      <c r="S221" s="21">
        <f t="shared" si="15"/>
        <v>-3.8340408051485845E-3</v>
      </c>
      <c r="T221" s="15">
        <f>simulation!$B$1*((simulation!$B$4*data!R221)+(simulation!$B$5*data!S221))</f>
        <v>-507.07759722382826</v>
      </c>
    </row>
    <row r="222" spans="1:20" x14ac:dyDescent="0.3">
      <c r="A222">
        <v>45485.666666666672</v>
      </c>
      <c r="B222">
        <v>557.63</v>
      </c>
      <c r="C222">
        <v>563.66999999999996</v>
      </c>
      <c r="D222">
        <v>557.15</v>
      </c>
      <c r="E222">
        <v>559.99</v>
      </c>
      <c r="F222">
        <v>53084405</v>
      </c>
      <c r="G222">
        <v>45485.666666666672</v>
      </c>
      <c r="H222">
        <v>72.849999999999994</v>
      </c>
      <c r="I222">
        <v>72.98</v>
      </c>
      <c r="J222">
        <v>72.8</v>
      </c>
      <c r="K222">
        <v>72.98</v>
      </c>
      <c r="L222">
        <v>4656917</v>
      </c>
      <c r="O222" s="8">
        <v>220</v>
      </c>
      <c r="P222" s="8">
        <f t="shared" si="12"/>
        <v>559.99</v>
      </c>
      <c r="Q222" s="8">
        <f t="shared" si="13"/>
        <v>72.98</v>
      </c>
      <c r="R222" s="21">
        <f t="shared" si="14"/>
        <v>-2.7425070788737265E-3</v>
      </c>
      <c r="S222" s="21">
        <f t="shared" si="15"/>
        <v>3.1615120274914635E-3</v>
      </c>
      <c r="T222" s="15">
        <f>simulation!$B$1*((simulation!$B$4*data!R222)+(simulation!$B$5*data!S222))</f>
        <v>-38.089943632765028</v>
      </c>
    </row>
    <row r="223" spans="1:20" x14ac:dyDescent="0.3">
      <c r="A223">
        <v>45484.666666666672</v>
      </c>
      <c r="B223">
        <v>561.44000000000005</v>
      </c>
      <c r="C223">
        <v>562.33000000000004</v>
      </c>
      <c r="D223">
        <v>555.83000000000004</v>
      </c>
      <c r="E223">
        <v>556.48</v>
      </c>
      <c r="F223">
        <v>53054184</v>
      </c>
      <c r="G223">
        <v>45484.666666666672</v>
      </c>
      <c r="H223">
        <v>72.83</v>
      </c>
      <c r="I223">
        <v>72.9375</v>
      </c>
      <c r="J223">
        <v>72.77</v>
      </c>
      <c r="K223">
        <v>72.790000000000006</v>
      </c>
      <c r="L223">
        <v>4980017</v>
      </c>
      <c r="O223" s="8">
        <v>221</v>
      </c>
      <c r="P223" s="8">
        <f t="shared" si="12"/>
        <v>556.48</v>
      </c>
      <c r="Q223" s="8">
        <f t="shared" si="13"/>
        <v>72.790000000000006</v>
      </c>
      <c r="R223" s="21">
        <f t="shared" si="14"/>
        <v>-6.2679690708762493E-3</v>
      </c>
      <c r="S223" s="21">
        <f t="shared" si="15"/>
        <v>-2.6034530008221118E-3</v>
      </c>
      <c r="T223" s="15">
        <f>simulation!$B$1*((simulation!$B$4*data!R223)+(simulation!$B$5*data!S223))</f>
        <v>-480.21626428545949</v>
      </c>
    </row>
    <row r="224" spans="1:20" x14ac:dyDescent="0.3">
      <c r="A224">
        <v>45483.666666666672</v>
      </c>
      <c r="B224">
        <v>557.07000000000005</v>
      </c>
      <c r="C224">
        <v>561.66999999999996</v>
      </c>
      <c r="D224">
        <v>556.77</v>
      </c>
      <c r="E224">
        <v>561.32000000000005</v>
      </c>
      <c r="F224">
        <v>38701220</v>
      </c>
      <c r="G224">
        <v>45483.666666666672</v>
      </c>
      <c r="H224">
        <v>72.42</v>
      </c>
      <c r="I224">
        <v>72.469899999999996</v>
      </c>
      <c r="J224">
        <v>72.319999999999993</v>
      </c>
      <c r="K224">
        <v>72.430000000000007</v>
      </c>
      <c r="L224">
        <v>5591598</v>
      </c>
      <c r="O224" s="8">
        <v>222</v>
      </c>
      <c r="P224" s="8">
        <f t="shared" si="12"/>
        <v>561.32000000000005</v>
      </c>
      <c r="Q224" s="8">
        <f t="shared" si="13"/>
        <v>72.430000000000007</v>
      </c>
      <c r="R224" s="21">
        <f t="shared" si="14"/>
        <v>8.6975273145486476E-3</v>
      </c>
      <c r="S224" s="21">
        <f t="shared" si="15"/>
        <v>-4.9457343041626519E-3</v>
      </c>
      <c r="T224" s="15">
        <f>simulation!$B$1*((simulation!$B$4*data!R224)+(simulation!$B$5*data!S224))</f>
        <v>324.02226670641272</v>
      </c>
    </row>
    <row r="225" spans="1:20" x14ac:dyDescent="0.3">
      <c r="A225">
        <v>45482.666666666672</v>
      </c>
      <c r="B225">
        <v>556.26</v>
      </c>
      <c r="C225">
        <v>557.17999999999995</v>
      </c>
      <c r="D225">
        <v>555.52</v>
      </c>
      <c r="E225">
        <v>555.82000000000005</v>
      </c>
      <c r="F225">
        <v>27314125</v>
      </c>
      <c r="G225">
        <v>45482.666666666672</v>
      </c>
      <c r="H225">
        <v>72.37</v>
      </c>
      <c r="I225">
        <v>72.415000000000006</v>
      </c>
      <c r="J225">
        <v>72.209999999999994</v>
      </c>
      <c r="K225">
        <v>72.37</v>
      </c>
      <c r="L225">
        <v>8533930</v>
      </c>
      <c r="O225" s="8">
        <v>223</v>
      </c>
      <c r="P225" s="8">
        <f t="shared" si="12"/>
        <v>555.82000000000005</v>
      </c>
      <c r="Q225" s="8">
        <f t="shared" si="13"/>
        <v>72.37</v>
      </c>
      <c r="R225" s="21">
        <f t="shared" si="14"/>
        <v>-9.7983325019596664E-3</v>
      </c>
      <c r="S225" s="21">
        <f t="shared" si="15"/>
        <v>-8.2838602788902753E-4</v>
      </c>
      <c r="T225" s="15">
        <f>simulation!$B$1*((simulation!$B$4*data!R225)+(simulation!$B$5*data!S225))</f>
        <v>-621.03539123314113</v>
      </c>
    </row>
    <row r="226" spans="1:20" x14ac:dyDescent="0.3">
      <c r="A226">
        <v>45481.666666666672</v>
      </c>
      <c r="B226">
        <v>555.44000000000005</v>
      </c>
      <c r="C226">
        <v>556.25009999999997</v>
      </c>
      <c r="D226">
        <v>554.19000000000005</v>
      </c>
      <c r="E226">
        <v>555.28</v>
      </c>
      <c r="F226">
        <v>36110451</v>
      </c>
      <c r="G226">
        <v>45481.666666666672</v>
      </c>
      <c r="H226">
        <v>72.39</v>
      </c>
      <c r="I226">
        <v>72.45</v>
      </c>
      <c r="J226">
        <v>72.290000000000006</v>
      </c>
      <c r="K226">
        <v>72.400000000000006</v>
      </c>
      <c r="L226">
        <v>4742403</v>
      </c>
      <c r="O226" s="8">
        <v>224</v>
      </c>
      <c r="P226" s="8">
        <f t="shared" si="12"/>
        <v>555.28</v>
      </c>
      <c r="Q226" s="8">
        <f t="shared" si="13"/>
        <v>72.400000000000006</v>
      </c>
      <c r="R226" s="21">
        <f t="shared" si="14"/>
        <v>-9.7153754812723053E-4</v>
      </c>
      <c r="S226" s="21">
        <f t="shared" si="15"/>
        <v>4.145364101147041E-4</v>
      </c>
      <c r="T226" s="15">
        <f>simulation!$B$1*((simulation!$B$4*data!R226)+(simulation!$B$5*data!S226))</f>
        <v>-41.710796483045662</v>
      </c>
    </row>
    <row r="227" spans="1:20" x14ac:dyDescent="0.3">
      <c r="A227">
        <v>45478.666666666672</v>
      </c>
      <c r="B227">
        <v>551.77</v>
      </c>
      <c r="C227">
        <v>555.04999999999995</v>
      </c>
      <c r="D227">
        <v>551.12</v>
      </c>
      <c r="E227">
        <v>554.64</v>
      </c>
      <c r="F227">
        <v>41488389</v>
      </c>
      <c r="G227">
        <v>45478.666666666672</v>
      </c>
      <c r="H227">
        <v>72.260000000000005</v>
      </c>
      <c r="I227">
        <v>72.45</v>
      </c>
      <c r="J227">
        <v>72.215000000000003</v>
      </c>
      <c r="K227">
        <v>72.400000000000006</v>
      </c>
      <c r="L227">
        <v>4201930</v>
      </c>
      <c r="O227" s="8">
        <v>225</v>
      </c>
      <c r="P227" s="8">
        <f t="shared" si="12"/>
        <v>554.64</v>
      </c>
      <c r="Q227" s="8">
        <f t="shared" si="13"/>
        <v>72.400000000000006</v>
      </c>
      <c r="R227" s="21">
        <f t="shared" si="14"/>
        <v>-1.1525716755510487E-3</v>
      </c>
      <c r="S227" s="21">
        <f t="shared" si="15"/>
        <v>0</v>
      </c>
      <c r="T227" s="15">
        <f>simulation!$B$1*((simulation!$B$4*data!R227)+(simulation!$B$5*data!S227))</f>
        <v>-69.154300533062923</v>
      </c>
    </row>
    <row r="228" spans="1:20" x14ac:dyDescent="0.3">
      <c r="A228">
        <v>45476.666666666672</v>
      </c>
      <c r="B228">
        <v>548.69000000000005</v>
      </c>
      <c r="C228">
        <v>551.83000000000004</v>
      </c>
      <c r="D228">
        <v>548.65</v>
      </c>
      <c r="E228">
        <v>551.46</v>
      </c>
      <c r="F228">
        <v>32789911</v>
      </c>
      <c r="G228">
        <v>45476.666666666672</v>
      </c>
      <c r="H228">
        <v>71.86</v>
      </c>
      <c r="I228">
        <v>72.094999999999999</v>
      </c>
      <c r="J228">
        <v>71.805000000000007</v>
      </c>
      <c r="K228">
        <v>72.069999999999993</v>
      </c>
      <c r="L228">
        <v>4438621</v>
      </c>
      <c r="O228" s="8">
        <v>226</v>
      </c>
      <c r="P228" s="8">
        <f t="shared" si="12"/>
        <v>551.46</v>
      </c>
      <c r="Q228" s="8">
        <f t="shared" si="13"/>
        <v>72.069999999999993</v>
      </c>
      <c r="R228" s="21">
        <f t="shared" si="14"/>
        <v>-5.733448723496232E-3</v>
      </c>
      <c r="S228" s="21">
        <f t="shared" si="15"/>
        <v>-4.5580110497239297E-3</v>
      </c>
      <c r="T228" s="15">
        <f>simulation!$B$1*((simulation!$B$4*data!R228)+(simulation!$B$5*data!S228))</f>
        <v>-526.3273653987311</v>
      </c>
    </row>
    <row r="229" spans="1:20" x14ac:dyDescent="0.3">
      <c r="A229">
        <v>45475.666666666672</v>
      </c>
      <c r="B229">
        <v>543.70000000000005</v>
      </c>
      <c r="C229">
        <v>549.01</v>
      </c>
      <c r="D229">
        <v>543.65</v>
      </c>
      <c r="E229">
        <v>549.01</v>
      </c>
      <c r="F229">
        <v>40434792</v>
      </c>
      <c r="G229">
        <v>45475.666666666672</v>
      </c>
      <c r="H229">
        <v>71.69</v>
      </c>
      <c r="I229">
        <v>71.734999999999999</v>
      </c>
      <c r="J229">
        <v>71.569999999999993</v>
      </c>
      <c r="K229">
        <v>71.66</v>
      </c>
      <c r="L229">
        <v>6080286</v>
      </c>
      <c r="O229" s="8">
        <v>227</v>
      </c>
      <c r="P229" s="8">
        <f t="shared" si="12"/>
        <v>549.01</v>
      </c>
      <c r="Q229" s="8">
        <f t="shared" si="13"/>
        <v>71.66</v>
      </c>
      <c r="R229" s="21">
        <f t="shared" si="14"/>
        <v>-4.4427519675045253E-3</v>
      </c>
      <c r="S229" s="21">
        <f t="shared" si="15"/>
        <v>-5.6889135562646961E-3</v>
      </c>
      <c r="T229" s="15">
        <f>simulation!$B$1*((simulation!$B$4*data!R229)+(simulation!$B$5*data!S229))</f>
        <v>-494.12166030085933</v>
      </c>
    </row>
    <row r="230" spans="1:20" x14ac:dyDescent="0.3">
      <c r="A230">
        <v>45474.666666666672</v>
      </c>
      <c r="B230">
        <v>545.63</v>
      </c>
      <c r="C230">
        <v>545.88</v>
      </c>
      <c r="D230">
        <v>542.52</v>
      </c>
      <c r="E230">
        <v>545.34</v>
      </c>
      <c r="F230">
        <v>40297810</v>
      </c>
      <c r="G230">
        <v>45474.666666666672</v>
      </c>
      <c r="H230">
        <v>71.58</v>
      </c>
      <c r="I230">
        <v>71.760000000000005</v>
      </c>
      <c r="J230">
        <v>71.400000000000006</v>
      </c>
      <c r="K230">
        <v>71.45</v>
      </c>
      <c r="L230">
        <v>4960049</v>
      </c>
      <c r="O230" s="8">
        <v>228</v>
      </c>
      <c r="P230" s="8">
        <f t="shared" si="12"/>
        <v>545.34</v>
      </c>
      <c r="Q230" s="8">
        <f t="shared" si="13"/>
        <v>71.45</v>
      </c>
      <c r="R230" s="21">
        <f t="shared" si="14"/>
        <v>-6.6847598404399904E-3</v>
      </c>
      <c r="S230" s="21">
        <f t="shared" si="15"/>
        <v>-2.9305051632709149E-3</v>
      </c>
      <c r="T230" s="15">
        <f>simulation!$B$1*((simulation!$B$4*data!R230)+(simulation!$B$5*data!S230))</f>
        <v>-518.305796957236</v>
      </c>
    </row>
    <row r="231" spans="1:20" x14ac:dyDescent="0.3">
      <c r="A231">
        <v>45471.666666666672</v>
      </c>
      <c r="B231">
        <v>547.16</v>
      </c>
      <c r="C231">
        <v>550.28</v>
      </c>
      <c r="D231">
        <v>542.95000000000005</v>
      </c>
      <c r="E231">
        <v>544.22</v>
      </c>
      <c r="F231">
        <v>76144535</v>
      </c>
      <c r="G231">
        <v>45471.666666666672</v>
      </c>
      <c r="H231">
        <v>72.55</v>
      </c>
      <c r="I231">
        <v>72.55</v>
      </c>
      <c r="J231">
        <v>72.05</v>
      </c>
      <c r="K231">
        <v>72.05</v>
      </c>
      <c r="L231">
        <v>4824520</v>
      </c>
      <c r="O231" s="8">
        <v>229</v>
      </c>
      <c r="P231" s="8">
        <f t="shared" si="12"/>
        <v>544.22</v>
      </c>
      <c r="Q231" s="8">
        <f t="shared" si="13"/>
        <v>72.05</v>
      </c>
      <c r="R231" s="21">
        <f t="shared" si="14"/>
        <v>-2.0537646239043614E-3</v>
      </c>
      <c r="S231" s="21">
        <f t="shared" si="15"/>
        <v>8.3974807557731877E-3</v>
      </c>
      <c r="T231" s="15">
        <f>simulation!$B$1*((simulation!$B$4*data!R231)+(simulation!$B$5*data!S231))</f>
        <v>212.67335279666588</v>
      </c>
    </row>
    <row r="232" spans="1:20" x14ac:dyDescent="0.3">
      <c r="A232">
        <v>45470.666666666672</v>
      </c>
      <c r="B232">
        <v>545.37</v>
      </c>
      <c r="C232">
        <v>546.96</v>
      </c>
      <c r="D232">
        <v>544.61</v>
      </c>
      <c r="E232">
        <v>546.37</v>
      </c>
      <c r="F232">
        <v>35041480</v>
      </c>
      <c r="G232">
        <v>45470.666666666672</v>
      </c>
      <c r="H232">
        <v>72.394999999999996</v>
      </c>
      <c r="I232">
        <v>72.459999999999994</v>
      </c>
      <c r="J232">
        <v>72.36</v>
      </c>
      <c r="K232">
        <v>72.39</v>
      </c>
      <c r="L232">
        <v>5514794</v>
      </c>
      <c r="O232" s="8">
        <v>230</v>
      </c>
      <c r="P232" s="8">
        <f t="shared" si="12"/>
        <v>546.37</v>
      </c>
      <c r="Q232" s="8">
        <f t="shared" si="13"/>
        <v>72.39</v>
      </c>
      <c r="R232" s="21">
        <f t="shared" si="14"/>
        <v>3.9506082099150658E-3</v>
      </c>
      <c r="S232" s="21">
        <f t="shared" si="15"/>
        <v>4.7189451769604918E-3</v>
      </c>
      <c r="T232" s="15">
        <f>simulation!$B$1*((simulation!$B$4*data!R232)+(simulation!$B$5*data!S232))</f>
        <v>425.79429967332368</v>
      </c>
    </row>
    <row r="233" spans="1:20" x14ac:dyDescent="0.3">
      <c r="A233">
        <v>45469.666666666672</v>
      </c>
      <c r="B233">
        <v>543.69000000000005</v>
      </c>
      <c r="C233">
        <v>546.24</v>
      </c>
      <c r="D233">
        <v>543.03</v>
      </c>
      <c r="E233">
        <v>545.51</v>
      </c>
      <c r="F233">
        <v>38550637</v>
      </c>
      <c r="G233">
        <v>45469.666666666672</v>
      </c>
      <c r="H233">
        <v>72.3</v>
      </c>
      <c r="I233">
        <v>72.314999999999998</v>
      </c>
      <c r="J233">
        <v>72.23</v>
      </c>
      <c r="K233">
        <v>72.260000000000005</v>
      </c>
      <c r="L233">
        <v>5910713</v>
      </c>
      <c r="O233" s="8">
        <v>231</v>
      </c>
      <c r="P233" s="8">
        <f t="shared" si="12"/>
        <v>545.51</v>
      </c>
      <c r="Q233" s="8">
        <f t="shared" si="13"/>
        <v>72.260000000000005</v>
      </c>
      <c r="R233" s="21">
        <f t="shared" si="14"/>
        <v>-1.5740249281622593E-3</v>
      </c>
      <c r="S233" s="21">
        <f t="shared" si="15"/>
        <v>-1.7958281530597521E-3</v>
      </c>
      <c r="T233" s="15">
        <f>simulation!$B$1*((simulation!$B$4*data!R233)+(simulation!$B$5*data!S233))</f>
        <v>-166.27462181212564</v>
      </c>
    </row>
    <row r="234" spans="1:20" x14ac:dyDescent="0.3">
      <c r="A234">
        <v>45468.666666666672</v>
      </c>
      <c r="B234">
        <v>543.99</v>
      </c>
      <c r="C234">
        <v>545.20000000000005</v>
      </c>
      <c r="D234">
        <v>542.44000000000005</v>
      </c>
      <c r="E234">
        <v>544.83000000000004</v>
      </c>
      <c r="F234">
        <v>38273346</v>
      </c>
      <c r="G234">
        <v>45468.666666666672</v>
      </c>
      <c r="H234">
        <v>72.569999999999993</v>
      </c>
      <c r="I234">
        <v>72.61</v>
      </c>
      <c r="J234">
        <v>72.480099999999993</v>
      </c>
      <c r="K234">
        <v>72.599999999999994</v>
      </c>
      <c r="L234">
        <v>5959340</v>
      </c>
      <c r="O234" s="8">
        <v>232</v>
      </c>
      <c r="P234" s="8">
        <f t="shared" si="12"/>
        <v>544.83000000000004</v>
      </c>
      <c r="Q234" s="8">
        <f t="shared" si="13"/>
        <v>72.599999999999994</v>
      </c>
      <c r="R234" s="21">
        <f t="shared" si="14"/>
        <v>-1.2465399351065058E-3</v>
      </c>
      <c r="S234" s="21">
        <f t="shared" si="15"/>
        <v>4.7052311098808352E-3</v>
      </c>
      <c r="T234" s="15">
        <f>simulation!$B$1*((simulation!$B$4*data!R234)+(simulation!$B$5*data!S234))</f>
        <v>113.41684828884307</v>
      </c>
    </row>
    <row r="235" spans="1:20" x14ac:dyDescent="0.3">
      <c r="A235">
        <v>45467.666666666672</v>
      </c>
      <c r="B235">
        <v>544.33000000000004</v>
      </c>
      <c r="C235">
        <v>546.95000000000005</v>
      </c>
      <c r="D235">
        <v>542.62</v>
      </c>
      <c r="E235">
        <v>542.74</v>
      </c>
      <c r="F235">
        <v>45528654</v>
      </c>
      <c r="G235">
        <v>45467.666666666672</v>
      </c>
      <c r="H235">
        <v>72.540000000000006</v>
      </c>
      <c r="I235">
        <v>72.58</v>
      </c>
      <c r="J235">
        <v>72.459999999999994</v>
      </c>
      <c r="K235">
        <v>72.56</v>
      </c>
      <c r="L235">
        <v>31937184</v>
      </c>
      <c r="O235" s="8">
        <v>233</v>
      </c>
      <c r="P235" s="8">
        <f t="shared" si="12"/>
        <v>542.74</v>
      </c>
      <c r="Q235" s="8">
        <f t="shared" si="13"/>
        <v>72.56</v>
      </c>
      <c r="R235" s="21">
        <f t="shared" si="14"/>
        <v>-3.8360589541692486E-3</v>
      </c>
      <c r="S235" s="21">
        <f t="shared" si="15"/>
        <v>-5.5096418732771414E-4</v>
      </c>
      <c r="T235" s="15">
        <f>simulation!$B$1*((simulation!$B$4*data!R235)+(simulation!$B$5*data!S235))</f>
        <v>-252.20210474326345</v>
      </c>
    </row>
    <row r="236" spans="1:20" x14ac:dyDescent="0.3">
      <c r="A236">
        <v>45464.666666666672</v>
      </c>
      <c r="B236">
        <v>544.4</v>
      </c>
      <c r="C236">
        <v>545.65</v>
      </c>
      <c r="D236">
        <v>543.02</v>
      </c>
      <c r="E236">
        <v>544.51</v>
      </c>
      <c r="F236">
        <v>64513859</v>
      </c>
      <c r="G236">
        <v>45464.666666666672</v>
      </c>
      <c r="H236">
        <v>72.64</v>
      </c>
      <c r="I236">
        <v>72.675899999999999</v>
      </c>
      <c r="J236">
        <v>72.424999999999997</v>
      </c>
      <c r="K236">
        <v>72.52</v>
      </c>
      <c r="L236">
        <v>4117006</v>
      </c>
      <c r="O236" s="8">
        <v>234</v>
      </c>
      <c r="P236" s="8">
        <f t="shared" si="12"/>
        <v>544.51</v>
      </c>
      <c r="Q236" s="8">
        <f t="shared" si="13"/>
        <v>72.52</v>
      </c>
      <c r="R236" s="21">
        <f t="shared" si="14"/>
        <v>3.2612300549065515E-3</v>
      </c>
      <c r="S236" s="21">
        <f t="shared" si="15"/>
        <v>-5.5126791620736294E-4</v>
      </c>
      <c r="T236" s="15">
        <f>simulation!$B$1*((simulation!$B$4*data!R236)+(simulation!$B$5*data!S236))</f>
        <v>173.62308664609856</v>
      </c>
    </row>
    <row r="237" spans="1:20" x14ac:dyDescent="0.3">
      <c r="A237">
        <v>45463.666666666672</v>
      </c>
      <c r="B237">
        <v>549.44000000000005</v>
      </c>
      <c r="C237">
        <v>550.12</v>
      </c>
      <c r="D237">
        <v>545.17999999999995</v>
      </c>
      <c r="E237">
        <v>547</v>
      </c>
      <c r="F237">
        <v>70328226</v>
      </c>
      <c r="G237">
        <v>45463.666666666672</v>
      </c>
      <c r="H237">
        <v>72.400000000000006</v>
      </c>
      <c r="I237">
        <v>72.529899999999998</v>
      </c>
      <c r="J237">
        <v>72.345299999999995</v>
      </c>
      <c r="K237">
        <v>72.5</v>
      </c>
      <c r="L237">
        <v>4227755</v>
      </c>
      <c r="O237" s="8">
        <v>235</v>
      </c>
      <c r="P237" s="8">
        <f t="shared" si="12"/>
        <v>547</v>
      </c>
      <c r="Q237" s="8">
        <f t="shared" si="13"/>
        <v>72.5</v>
      </c>
      <c r="R237" s="21">
        <f t="shared" si="14"/>
        <v>4.5729187710051404E-3</v>
      </c>
      <c r="S237" s="21">
        <f t="shared" si="15"/>
        <v>-2.7578599007164952E-4</v>
      </c>
      <c r="T237" s="15">
        <f>simulation!$B$1*((simulation!$B$4*data!R237)+(simulation!$B$5*data!S237))</f>
        <v>263.34368665744245</v>
      </c>
    </row>
    <row r="238" spans="1:20" x14ac:dyDescent="0.3">
      <c r="A238">
        <v>45461.666666666672</v>
      </c>
      <c r="B238">
        <v>547.16</v>
      </c>
      <c r="C238">
        <v>548.62</v>
      </c>
      <c r="D238">
        <v>546.73</v>
      </c>
      <c r="E238">
        <v>548.49</v>
      </c>
      <c r="F238">
        <v>41376417</v>
      </c>
      <c r="G238">
        <v>45461.666666666672</v>
      </c>
      <c r="H238">
        <v>72.48</v>
      </c>
      <c r="I238">
        <v>72.739999999999995</v>
      </c>
      <c r="J238">
        <v>72.47</v>
      </c>
      <c r="K238">
        <v>72.64</v>
      </c>
      <c r="L238">
        <v>8492091</v>
      </c>
      <c r="O238" s="8">
        <v>236</v>
      </c>
      <c r="P238" s="8">
        <f t="shared" si="12"/>
        <v>548.49</v>
      </c>
      <c r="Q238" s="8">
        <f t="shared" si="13"/>
        <v>72.64</v>
      </c>
      <c r="R238" s="21">
        <f t="shared" si="14"/>
        <v>2.7239488117001996E-3</v>
      </c>
      <c r="S238" s="21">
        <f t="shared" si="15"/>
        <v>1.9310344827586285E-3</v>
      </c>
      <c r="T238" s="15">
        <f>simulation!$B$1*((simulation!$B$4*data!R238)+(simulation!$B$5*data!S238))</f>
        <v>240.67830801235709</v>
      </c>
    </row>
    <row r="239" spans="1:20" x14ac:dyDescent="0.3">
      <c r="A239">
        <v>45460.666666666672</v>
      </c>
      <c r="B239">
        <v>542.08000000000004</v>
      </c>
      <c r="C239">
        <v>548.53</v>
      </c>
      <c r="D239">
        <v>541.60720000000003</v>
      </c>
      <c r="E239">
        <v>547.1</v>
      </c>
      <c r="F239">
        <v>55839457</v>
      </c>
      <c r="G239">
        <v>45460.666666666672</v>
      </c>
      <c r="H239">
        <v>72.37</v>
      </c>
      <c r="I239">
        <v>72.41</v>
      </c>
      <c r="J239">
        <v>72.290000000000006</v>
      </c>
      <c r="K239">
        <v>72.39</v>
      </c>
      <c r="L239">
        <v>4018983</v>
      </c>
      <c r="O239" s="8">
        <v>237</v>
      </c>
      <c r="P239" s="8">
        <f t="shared" si="12"/>
        <v>547.1</v>
      </c>
      <c r="Q239" s="8">
        <f t="shared" si="13"/>
        <v>72.39</v>
      </c>
      <c r="R239" s="21">
        <f t="shared" si="14"/>
        <v>-2.5342303414829558E-3</v>
      </c>
      <c r="S239" s="21">
        <f t="shared" si="15"/>
        <v>-3.4416299559471364E-3</v>
      </c>
      <c r="T239" s="15">
        <f>simulation!$B$1*((simulation!$B$4*data!R239)+(simulation!$B$5*data!S239))</f>
        <v>-289.71901872686283</v>
      </c>
    </row>
    <row r="240" spans="1:20" x14ac:dyDescent="0.3">
      <c r="A240">
        <v>45457.666666666672</v>
      </c>
      <c r="B240">
        <v>540.88</v>
      </c>
      <c r="C240">
        <v>542.80999999999995</v>
      </c>
      <c r="D240">
        <v>539.85</v>
      </c>
      <c r="E240">
        <v>542.78</v>
      </c>
      <c r="F240">
        <v>40089895</v>
      </c>
      <c r="G240">
        <v>45457.666666666672</v>
      </c>
      <c r="H240">
        <v>72.66</v>
      </c>
      <c r="I240">
        <v>72.73</v>
      </c>
      <c r="J240">
        <v>72.599999999999994</v>
      </c>
      <c r="K240">
        <v>72.66</v>
      </c>
      <c r="L240">
        <v>3526987</v>
      </c>
      <c r="O240" s="8">
        <v>238</v>
      </c>
      <c r="P240" s="8">
        <f t="shared" si="12"/>
        <v>542.78</v>
      </c>
      <c r="Q240" s="8">
        <f t="shared" si="13"/>
        <v>72.66</v>
      </c>
      <c r="R240" s="21">
        <f t="shared" si="14"/>
        <v>-7.8961798574301769E-3</v>
      </c>
      <c r="S240" s="21">
        <f t="shared" si="15"/>
        <v>3.7297969332780222E-3</v>
      </c>
      <c r="T240" s="15">
        <f>simulation!$B$1*((simulation!$B$4*data!R240)+(simulation!$B$5*data!S240))</f>
        <v>-324.57891411468972</v>
      </c>
    </row>
    <row r="241" spans="1:20" x14ac:dyDescent="0.3">
      <c r="A241">
        <v>45456.666666666672</v>
      </c>
      <c r="B241">
        <v>543.15</v>
      </c>
      <c r="C241">
        <v>543.32500000000005</v>
      </c>
      <c r="D241">
        <v>539.59</v>
      </c>
      <c r="E241">
        <v>542.45000000000005</v>
      </c>
      <c r="F241">
        <v>44760949</v>
      </c>
      <c r="G241">
        <v>45456.666666666672</v>
      </c>
      <c r="H241">
        <v>72.459999999999994</v>
      </c>
      <c r="I241">
        <v>72.64</v>
      </c>
      <c r="J241">
        <v>72.39</v>
      </c>
      <c r="K241">
        <v>72.55</v>
      </c>
      <c r="L241">
        <v>4339602</v>
      </c>
      <c r="O241" s="8">
        <v>239</v>
      </c>
      <c r="P241" s="8">
        <f t="shared" si="12"/>
        <v>542.45000000000005</v>
      </c>
      <c r="Q241" s="8">
        <f t="shared" si="13"/>
        <v>72.55</v>
      </c>
      <c r="R241" s="21">
        <f t="shared" si="14"/>
        <v>-6.0798113416103629E-4</v>
      </c>
      <c r="S241" s="21">
        <f t="shared" si="15"/>
        <v>-1.5139003578309859E-3</v>
      </c>
      <c r="T241" s="15">
        <f>simulation!$B$1*((simulation!$B$4*data!R241)+(simulation!$B$5*data!S241))</f>
        <v>-97.034882362901612</v>
      </c>
    </row>
    <row r="242" spans="1:20" x14ac:dyDescent="0.3">
      <c r="A242">
        <v>45455.666666666672</v>
      </c>
      <c r="B242">
        <v>541.63</v>
      </c>
      <c r="C242">
        <v>544.12</v>
      </c>
      <c r="D242">
        <v>540.29999999999995</v>
      </c>
      <c r="E242">
        <v>541.36</v>
      </c>
      <c r="F242">
        <v>63251305</v>
      </c>
      <c r="G242">
        <v>45455.666666666672</v>
      </c>
      <c r="H242">
        <v>72.42</v>
      </c>
      <c r="I242">
        <v>72.58</v>
      </c>
      <c r="J242">
        <v>72.215000000000003</v>
      </c>
      <c r="K242">
        <v>72.23</v>
      </c>
      <c r="L242">
        <v>4495747</v>
      </c>
      <c r="O242" s="8">
        <v>240</v>
      </c>
      <c r="P242" s="8">
        <f t="shared" si="12"/>
        <v>541.36</v>
      </c>
      <c r="Q242" s="8">
        <f t="shared" si="13"/>
        <v>72.23</v>
      </c>
      <c r="R242" s="21">
        <f t="shared" si="14"/>
        <v>-2.0094017881833012E-3</v>
      </c>
      <c r="S242" s="21">
        <f t="shared" si="15"/>
        <v>-4.4107512060646888E-3</v>
      </c>
      <c r="T242" s="15">
        <f>simulation!$B$1*((simulation!$B$4*data!R242)+(simulation!$B$5*data!S242))</f>
        <v>-296.99415553358563</v>
      </c>
    </row>
    <row r="243" spans="1:20" x14ac:dyDescent="0.3">
      <c r="A243">
        <v>45454.666666666672</v>
      </c>
      <c r="B243">
        <v>534.07000000000005</v>
      </c>
      <c r="C243">
        <v>537.01</v>
      </c>
      <c r="D243">
        <v>532.04999999999995</v>
      </c>
      <c r="E243">
        <v>536.95000000000005</v>
      </c>
      <c r="F243">
        <v>36383411</v>
      </c>
      <c r="G243">
        <v>45454.666666666672</v>
      </c>
      <c r="H243">
        <v>71.680000000000007</v>
      </c>
      <c r="I243">
        <v>71.9255</v>
      </c>
      <c r="J243">
        <v>71.66</v>
      </c>
      <c r="K243">
        <v>71.900000000000006</v>
      </c>
      <c r="L243">
        <v>4073183</v>
      </c>
      <c r="O243" s="8">
        <v>241</v>
      </c>
      <c r="P243" s="8">
        <f t="shared" si="12"/>
        <v>536.95000000000005</v>
      </c>
      <c r="Q243" s="8">
        <f t="shared" si="13"/>
        <v>71.900000000000006</v>
      </c>
      <c r="R243" s="21">
        <f t="shared" si="14"/>
        <v>-8.146150435939057E-3</v>
      </c>
      <c r="S243" s="21">
        <f t="shared" si="15"/>
        <v>-4.568738751211384E-3</v>
      </c>
      <c r="T243" s="15">
        <f>simulation!$B$1*((simulation!$B$4*data!R243)+(simulation!$B$5*data!S243))</f>
        <v>-671.51857620479871</v>
      </c>
    </row>
    <row r="244" spans="1:20" x14ac:dyDescent="0.3">
      <c r="A244">
        <v>45453.666666666672</v>
      </c>
      <c r="B244">
        <v>533.17999999999995</v>
      </c>
      <c r="C244">
        <v>535.99</v>
      </c>
      <c r="D244">
        <v>532.57000000000005</v>
      </c>
      <c r="E244">
        <v>535.66</v>
      </c>
      <c r="F244">
        <v>35729252</v>
      </c>
      <c r="G244">
        <v>45453.666666666672</v>
      </c>
      <c r="H244">
        <v>71.62</v>
      </c>
      <c r="I244">
        <v>71.650000000000006</v>
      </c>
      <c r="J244">
        <v>71.540000000000006</v>
      </c>
      <c r="K244">
        <v>71.61</v>
      </c>
      <c r="L244">
        <v>3925158</v>
      </c>
      <c r="O244" s="8">
        <v>242</v>
      </c>
      <c r="P244" s="8">
        <f t="shared" si="12"/>
        <v>535.66</v>
      </c>
      <c r="Q244" s="8">
        <f t="shared" si="13"/>
        <v>71.61</v>
      </c>
      <c r="R244" s="21">
        <f t="shared" si="14"/>
        <v>-2.4024583294535379E-3</v>
      </c>
      <c r="S244" s="21">
        <f t="shared" si="15"/>
        <v>-4.0333796940195581E-3</v>
      </c>
      <c r="T244" s="15">
        <f>simulation!$B$1*((simulation!$B$4*data!R244)+(simulation!$B$5*data!S244))</f>
        <v>-305.48268752799459</v>
      </c>
    </row>
    <row r="245" spans="1:20" x14ac:dyDescent="0.3">
      <c r="A245">
        <v>45450.666666666672</v>
      </c>
      <c r="B245">
        <v>533.66</v>
      </c>
      <c r="C245">
        <v>536.89</v>
      </c>
      <c r="D245">
        <v>532.53499999999997</v>
      </c>
      <c r="E245">
        <v>534.01</v>
      </c>
      <c r="F245">
        <v>43224525</v>
      </c>
      <c r="G245">
        <v>45450.666666666672</v>
      </c>
      <c r="H245">
        <v>71.83</v>
      </c>
      <c r="I245">
        <v>71.83</v>
      </c>
      <c r="J245">
        <v>71.709999999999994</v>
      </c>
      <c r="K245">
        <v>71.72</v>
      </c>
      <c r="L245">
        <v>3826603</v>
      </c>
      <c r="O245" s="8">
        <v>243</v>
      </c>
      <c r="P245" s="8">
        <f t="shared" si="12"/>
        <v>534.01</v>
      </c>
      <c r="Q245" s="8">
        <f t="shared" si="13"/>
        <v>71.72</v>
      </c>
      <c r="R245" s="21">
        <f t="shared" si="14"/>
        <v>-3.0803121382966384E-3</v>
      </c>
      <c r="S245" s="21">
        <f t="shared" si="15"/>
        <v>1.5360983102918507E-3</v>
      </c>
      <c r="T245" s="15">
        <f>simulation!$B$1*((simulation!$B$4*data!R245)+(simulation!$B$5*data!S245))</f>
        <v>-123.37479588612425</v>
      </c>
    </row>
    <row r="246" spans="1:20" x14ac:dyDescent="0.3">
      <c r="A246">
        <v>45449.666666666672</v>
      </c>
      <c r="B246">
        <v>534.98</v>
      </c>
      <c r="C246">
        <v>535.41999999999996</v>
      </c>
      <c r="D246">
        <v>532.67999999999995</v>
      </c>
      <c r="E246">
        <v>534.66</v>
      </c>
      <c r="F246">
        <v>30808530</v>
      </c>
      <c r="G246">
        <v>45449.666666666672</v>
      </c>
      <c r="H246">
        <v>72.17</v>
      </c>
      <c r="I246">
        <v>72.33</v>
      </c>
      <c r="J246">
        <v>72.17</v>
      </c>
      <c r="K246">
        <v>72.3</v>
      </c>
      <c r="L246">
        <v>4119659</v>
      </c>
      <c r="O246" s="8">
        <v>244</v>
      </c>
      <c r="P246" s="8">
        <f t="shared" si="12"/>
        <v>534.66</v>
      </c>
      <c r="Q246" s="8">
        <f t="shared" si="13"/>
        <v>72.3</v>
      </c>
      <c r="R246" s="21">
        <f t="shared" si="14"/>
        <v>1.2172056703057569E-3</v>
      </c>
      <c r="S246" s="21">
        <f t="shared" si="15"/>
        <v>8.0870050195203328E-3</v>
      </c>
      <c r="T246" s="15">
        <f>simulation!$B$1*((simulation!$B$4*data!R246)+(simulation!$B$5*data!S246))</f>
        <v>396.51254099915877</v>
      </c>
    </row>
    <row r="247" spans="1:20" x14ac:dyDescent="0.3">
      <c r="A247">
        <v>45448.666666666672</v>
      </c>
      <c r="B247">
        <v>530.77</v>
      </c>
      <c r="C247">
        <v>534.69000000000005</v>
      </c>
      <c r="D247">
        <v>528.72540000000004</v>
      </c>
      <c r="E247">
        <v>534.66999999999996</v>
      </c>
      <c r="F247">
        <v>47610365</v>
      </c>
      <c r="G247">
        <v>45448.666666666672</v>
      </c>
      <c r="H247">
        <v>72.180000000000007</v>
      </c>
      <c r="I247">
        <v>72.3</v>
      </c>
      <c r="J247">
        <v>72</v>
      </c>
      <c r="K247">
        <v>72.290000000000006</v>
      </c>
      <c r="L247">
        <v>5506369</v>
      </c>
      <c r="O247" s="8">
        <v>245</v>
      </c>
      <c r="P247" s="8">
        <f t="shared" si="12"/>
        <v>534.66999999999996</v>
      </c>
      <c r="Q247" s="8">
        <f t="shared" si="13"/>
        <v>72.290000000000006</v>
      </c>
      <c r="R247" s="21">
        <f t="shared" si="14"/>
        <v>1.8703475105657626E-5</v>
      </c>
      <c r="S247" s="21">
        <f t="shared" si="15"/>
        <v>-1.3831258644524073E-4</v>
      </c>
      <c r="T247" s="15">
        <f>simulation!$B$1*((simulation!$B$4*data!R247)+(simulation!$B$5*data!S247))</f>
        <v>-4.4102949514701724</v>
      </c>
    </row>
    <row r="248" spans="1:20" x14ac:dyDescent="0.3">
      <c r="A248">
        <v>45447.666666666672</v>
      </c>
      <c r="B248">
        <v>526.46</v>
      </c>
      <c r="C248">
        <v>529.15</v>
      </c>
      <c r="D248">
        <v>524.96</v>
      </c>
      <c r="E248">
        <v>528.39</v>
      </c>
      <c r="F248">
        <v>34632661</v>
      </c>
      <c r="G248">
        <v>45447.666666666672</v>
      </c>
      <c r="H248">
        <v>71.959999999999994</v>
      </c>
      <c r="I248">
        <v>72.14</v>
      </c>
      <c r="J248">
        <v>71.912499999999994</v>
      </c>
      <c r="K248">
        <v>72.09</v>
      </c>
      <c r="L248">
        <v>5298410</v>
      </c>
      <c r="O248" s="8">
        <v>246</v>
      </c>
      <c r="P248" s="8">
        <f t="shared" si="12"/>
        <v>528.39</v>
      </c>
      <c r="Q248" s="8">
        <f t="shared" si="13"/>
        <v>72.09</v>
      </c>
      <c r="R248" s="21">
        <f t="shared" si="14"/>
        <v>-1.1745562683524367E-2</v>
      </c>
      <c r="S248" s="21">
        <f t="shared" si="15"/>
        <v>-2.7666343892654975E-3</v>
      </c>
      <c r="T248" s="15">
        <f>simulation!$B$1*((simulation!$B$4*data!R248)+(simulation!$B$5*data!S248))</f>
        <v>-815.39913658208172</v>
      </c>
    </row>
    <row r="249" spans="1:20" x14ac:dyDescent="0.3">
      <c r="A249">
        <v>45446.666666666672</v>
      </c>
      <c r="B249">
        <v>529.02</v>
      </c>
      <c r="C249">
        <v>529.30999999999995</v>
      </c>
      <c r="D249">
        <v>522.6</v>
      </c>
      <c r="E249">
        <v>527.79999999999995</v>
      </c>
      <c r="F249">
        <v>46835702</v>
      </c>
      <c r="G249">
        <v>45446.666666666672</v>
      </c>
      <c r="H249">
        <v>71.569999999999993</v>
      </c>
      <c r="I249">
        <v>71.826599999999999</v>
      </c>
      <c r="J249">
        <v>71.53</v>
      </c>
      <c r="K249">
        <v>71.819999999999993</v>
      </c>
      <c r="L249">
        <v>4799106</v>
      </c>
      <c r="O249" s="8">
        <v>247</v>
      </c>
      <c r="P249" s="8">
        <f t="shared" si="12"/>
        <v>527.79999999999995</v>
      </c>
      <c r="Q249" s="8">
        <f t="shared" si="13"/>
        <v>71.819999999999993</v>
      </c>
      <c r="R249" s="21">
        <f t="shared" si="14"/>
        <v>-1.1165994814436909E-3</v>
      </c>
      <c r="S249" s="21">
        <f t="shared" si="15"/>
        <v>-3.7453183520600669E-3</v>
      </c>
      <c r="T249" s="15">
        <f>simulation!$B$1*((simulation!$B$4*data!R249)+(simulation!$B$5*data!S249))</f>
        <v>-216.80870296902415</v>
      </c>
    </row>
    <row r="250" spans="1:20" x14ac:dyDescent="0.3">
      <c r="A250">
        <v>45443.666666666672</v>
      </c>
      <c r="B250">
        <v>523.59</v>
      </c>
      <c r="C250">
        <v>527.5</v>
      </c>
      <c r="D250">
        <v>518.36</v>
      </c>
      <c r="E250">
        <v>527.37</v>
      </c>
      <c r="F250">
        <v>90785755</v>
      </c>
      <c r="G250">
        <v>45443.666666666672</v>
      </c>
      <c r="H250">
        <v>71.55</v>
      </c>
      <c r="I250">
        <v>71.680000000000007</v>
      </c>
      <c r="J250">
        <v>71.540000000000006</v>
      </c>
      <c r="K250">
        <v>71.64</v>
      </c>
      <c r="L250">
        <v>4193049</v>
      </c>
      <c r="O250" s="8">
        <v>248</v>
      </c>
      <c r="P250" s="8">
        <f t="shared" si="12"/>
        <v>527.37</v>
      </c>
      <c r="Q250" s="8">
        <f t="shared" si="13"/>
        <v>71.64</v>
      </c>
      <c r="R250" s="21">
        <f t="shared" si="14"/>
        <v>-8.1470253884037514E-4</v>
      </c>
      <c r="S250" s="21">
        <f t="shared" si="15"/>
        <v>-2.5062656641602985E-3</v>
      </c>
      <c r="T250" s="15">
        <f>simulation!$B$1*((simulation!$B$4*data!R250)+(simulation!$B$5*data!S250))</f>
        <v>-149.13277889683445</v>
      </c>
    </row>
    <row r="251" spans="1:20" x14ac:dyDescent="0.3">
      <c r="A251">
        <v>45442.666666666672</v>
      </c>
      <c r="B251">
        <v>524.52</v>
      </c>
      <c r="C251">
        <v>525.20000000000005</v>
      </c>
      <c r="D251">
        <v>521.33000000000004</v>
      </c>
      <c r="E251">
        <v>522.61</v>
      </c>
      <c r="F251">
        <v>46468510</v>
      </c>
      <c r="G251">
        <v>45442.666666666672</v>
      </c>
      <c r="H251">
        <v>71.319999999999993</v>
      </c>
      <c r="I251">
        <v>71.42</v>
      </c>
      <c r="J251">
        <v>71.260000000000005</v>
      </c>
      <c r="K251">
        <v>71.38</v>
      </c>
      <c r="L251">
        <v>3723357</v>
      </c>
      <c r="O251" s="8">
        <v>249</v>
      </c>
      <c r="P251" s="8">
        <f t="shared" si="12"/>
        <v>522.61</v>
      </c>
      <c r="Q251" s="8">
        <f t="shared" si="13"/>
        <v>71.38</v>
      </c>
      <c r="R251" s="21">
        <f t="shared" si="14"/>
        <v>-9.0259210800765887E-3</v>
      </c>
      <c r="S251" s="21">
        <f t="shared" si="15"/>
        <v>-3.6292573981016904E-3</v>
      </c>
      <c r="T251" s="15">
        <f>simulation!$B$1*((simulation!$B$4*data!R251)+(simulation!$B$5*data!S251))</f>
        <v>-686.72556072866303</v>
      </c>
    </row>
    <row r="252" spans="1:20" x14ac:dyDescent="0.3">
      <c r="A252">
        <v>45441.666666666672</v>
      </c>
      <c r="B252">
        <v>525.67999999999995</v>
      </c>
      <c r="C252">
        <v>527.30999999999995</v>
      </c>
      <c r="D252">
        <v>525.37</v>
      </c>
      <c r="E252">
        <v>526.1</v>
      </c>
      <c r="F252">
        <v>45190323</v>
      </c>
      <c r="G252">
        <v>45441.666666666672</v>
      </c>
      <c r="H252">
        <v>71.2</v>
      </c>
      <c r="I252">
        <v>71.204999999999998</v>
      </c>
      <c r="J252">
        <v>70.97</v>
      </c>
      <c r="K252">
        <v>71.069999999999993</v>
      </c>
      <c r="L252">
        <v>4877939</v>
      </c>
      <c r="O252" s="8">
        <v>250</v>
      </c>
      <c r="P252" s="8">
        <f t="shared" si="12"/>
        <v>526.1</v>
      </c>
      <c r="Q252" s="8">
        <f t="shared" si="13"/>
        <v>71.069999999999993</v>
      </c>
      <c r="R252" s="21">
        <f t="shared" si="14"/>
        <v>6.6780199383861946E-3</v>
      </c>
      <c r="S252" s="21">
        <f t="shared" si="15"/>
        <v>-4.3429532081815953E-3</v>
      </c>
      <c r="T252" s="15">
        <f>simulation!$B$1*((simulation!$B$4*data!R252)+(simulation!$B$5*data!S252))</f>
        <v>226.96306797590788</v>
      </c>
    </row>
    <row r="253" spans="1:20" x14ac:dyDescent="0.3">
      <c r="A253">
        <v>45440.666666666672</v>
      </c>
      <c r="B253">
        <v>530.27</v>
      </c>
      <c r="C253">
        <v>530.51</v>
      </c>
      <c r="D253">
        <v>527.11</v>
      </c>
      <c r="E253">
        <v>529.80999999999995</v>
      </c>
      <c r="F253">
        <v>36269602</v>
      </c>
      <c r="G253">
        <v>45440.666666666672</v>
      </c>
      <c r="H253">
        <v>71.739999999999995</v>
      </c>
      <c r="I253">
        <v>71.739999999999995</v>
      </c>
      <c r="J253">
        <v>71.31</v>
      </c>
      <c r="K253">
        <v>71.33</v>
      </c>
      <c r="L253">
        <v>4743377</v>
      </c>
      <c r="O253" s="8">
        <v>251</v>
      </c>
      <c r="P253" s="8">
        <f t="shared" si="12"/>
        <v>529.80999999999995</v>
      </c>
      <c r="Q253" s="8">
        <f t="shared" si="13"/>
        <v>71.33</v>
      </c>
      <c r="R253" s="21">
        <f t="shared" si="14"/>
        <v>7.051891275422776E-3</v>
      </c>
      <c r="S253" s="21">
        <f t="shared" si="15"/>
        <v>3.6583649922612232E-3</v>
      </c>
      <c r="T253" s="15">
        <f>simulation!$B$1*((simulation!$B$4*data!R253)+(simulation!$B$5*data!S253))</f>
        <v>569.44807621581538</v>
      </c>
    </row>
    <row r="254" spans="1:20" x14ac:dyDescent="0.3">
      <c r="A254">
        <v>45436.666666666672</v>
      </c>
      <c r="B254">
        <v>527.85</v>
      </c>
      <c r="C254">
        <v>530.27</v>
      </c>
      <c r="D254">
        <v>526.88099999999997</v>
      </c>
      <c r="E254">
        <v>529.44000000000005</v>
      </c>
      <c r="F254">
        <v>41291076</v>
      </c>
      <c r="G254">
        <v>45436.666666666672</v>
      </c>
      <c r="H254">
        <v>71.569999999999993</v>
      </c>
      <c r="I254">
        <v>71.69</v>
      </c>
      <c r="J254">
        <v>71.53</v>
      </c>
      <c r="K254">
        <v>71.67</v>
      </c>
      <c r="L254">
        <v>4025471</v>
      </c>
      <c r="O254" s="8">
        <v>252</v>
      </c>
      <c r="P254" s="8">
        <f t="shared" si="12"/>
        <v>529.44000000000005</v>
      </c>
      <c r="Q254" s="8">
        <f t="shared" si="13"/>
        <v>71.67</v>
      </c>
      <c r="R254" s="21">
        <f t="shared" si="14"/>
        <v>-6.9836356429642873E-4</v>
      </c>
      <c r="S254" s="21">
        <f t="shared" si="15"/>
        <v>4.766577877470958E-3</v>
      </c>
      <c r="T254" s="15">
        <f>simulation!$B$1*((simulation!$B$4*data!R254)+(simulation!$B$5*data!S254))</f>
        <v>148.76130124105259</v>
      </c>
    </row>
    <row r="255" spans="1:20" x14ac:dyDescent="0.3">
      <c r="A255">
        <v>45435.666666666672</v>
      </c>
      <c r="B255">
        <v>532.96</v>
      </c>
      <c r="C255">
        <v>533.07000000000005</v>
      </c>
      <c r="D255">
        <v>524.72</v>
      </c>
      <c r="E255">
        <v>525.96</v>
      </c>
      <c r="F255">
        <v>57211197</v>
      </c>
      <c r="G255">
        <v>45435.666666666672</v>
      </c>
      <c r="H255">
        <v>71.819999999999993</v>
      </c>
      <c r="I255">
        <v>71.849900000000005</v>
      </c>
      <c r="J255">
        <v>71.510000000000005</v>
      </c>
      <c r="K255">
        <v>71.59</v>
      </c>
      <c r="L255">
        <v>3589998</v>
      </c>
    </row>
    <row r="256" spans="1:20" x14ac:dyDescent="0.3">
      <c r="A256">
        <v>45434.666666666672</v>
      </c>
      <c r="B256">
        <v>530.65</v>
      </c>
      <c r="C256">
        <v>531.38</v>
      </c>
      <c r="D256">
        <v>527.6</v>
      </c>
      <c r="E256">
        <v>529.83000000000004</v>
      </c>
      <c r="F256">
        <v>48389968</v>
      </c>
      <c r="G256">
        <v>45434.666666666672</v>
      </c>
      <c r="H256">
        <v>71.739999999999995</v>
      </c>
      <c r="I256">
        <v>71.88</v>
      </c>
      <c r="J256">
        <v>71.72</v>
      </c>
      <c r="K256">
        <v>71.8</v>
      </c>
      <c r="L256">
        <v>4306301</v>
      </c>
    </row>
    <row r="257" spans="1:12" x14ac:dyDescent="0.3">
      <c r="A257">
        <v>45433.666666666672</v>
      </c>
      <c r="B257">
        <v>529.28</v>
      </c>
      <c r="C257">
        <v>531.52</v>
      </c>
      <c r="D257">
        <v>529.07000000000005</v>
      </c>
      <c r="E257">
        <v>531.36</v>
      </c>
      <c r="F257">
        <v>33437001</v>
      </c>
      <c r="G257">
        <v>45433.666666666672</v>
      </c>
      <c r="H257">
        <v>71.930000000000007</v>
      </c>
      <c r="I257">
        <v>71.930000000000007</v>
      </c>
      <c r="J257">
        <v>71.849999999999994</v>
      </c>
      <c r="K257">
        <v>71.89</v>
      </c>
      <c r="L257">
        <v>4612285</v>
      </c>
    </row>
    <row r="258" spans="1:12" x14ac:dyDescent="0.3">
      <c r="A258">
        <v>45432.666666666672</v>
      </c>
      <c r="B258">
        <v>529.57000000000005</v>
      </c>
      <c r="C258">
        <v>531.56010000000003</v>
      </c>
      <c r="D258">
        <v>529.16999999999996</v>
      </c>
      <c r="E258">
        <v>530.05999999999995</v>
      </c>
      <c r="F258">
        <v>37764206</v>
      </c>
      <c r="G258">
        <v>45432.666666666672</v>
      </c>
      <c r="H258">
        <v>71.77</v>
      </c>
      <c r="I258">
        <v>71.8</v>
      </c>
      <c r="J258">
        <v>71.73</v>
      </c>
      <c r="K258">
        <v>71.739999999999995</v>
      </c>
      <c r="L258">
        <v>3699649</v>
      </c>
    </row>
    <row r="259" spans="1:12" x14ac:dyDescent="0.3">
      <c r="A259">
        <v>45429.666666666672</v>
      </c>
      <c r="B259">
        <v>528.80999999999995</v>
      </c>
      <c r="C259">
        <v>529.52</v>
      </c>
      <c r="D259">
        <v>527.32000000000005</v>
      </c>
      <c r="E259">
        <v>529.45000000000005</v>
      </c>
      <c r="F259">
        <v>59187585</v>
      </c>
      <c r="G259">
        <v>45429.666666666672</v>
      </c>
      <c r="H259">
        <v>71.930000000000007</v>
      </c>
      <c r="I259">
        <v>71.989999999999995</v>
      </c>
      <c r="J259">
        <v>71.8</v>
      </c>
      <c r="K259">
        <v>71.81</v>
      </c>
      <c r="L259">
        <v>4373516</v>
      </c>
    </row>
    <row r="260" spans="1:12" x14ac:dyDescent="0.3">
      <c r="A260">
        <v>45428.666666666672</v>
      </c>
      <c r="B260">
        <v>529.88</v>
      </c>
      <c r="C260">
        <v>531.52179999999998</v>
      </c>
      <c r="D260">
        <v>528.54</v>
      </c>
      <c r="E260">
        <v>528.69000000000005</v>
      </c>
      <c r="F260">
        <v>50244827</v>
      </c>
      <c r="G260">
        <v>45428.666666666672</v>
      </c>
      <c r="H260">
        <v>72.13</v>
      </c>
      <c r="I260">
        <v>72.16</v>
      </c>
      <c r="J260">
        <v>71.97</v>
      </c>
      <c r="K260">
        <v>71.989999999999995</v>
      </c>
      <c r="L260">
        <v>4359540</v>
      </c>
    </row>
    <row r="261" spans="1:12" x14ac:dyDescent="0.3">
      <c r="A261">
        <v>45427.666666666672</v>
      </c>
      <c r="B261">
        <v>525.83000000000004</v>
      </c>
      <c r="C261">
        <v>530.08000000000004</v>
      </c>
      <c r="D261">
        <v>525.17999999999995</v>
      </c>
      <c r="E261">
        <v>529.78</v>
      </c>
      <c r="F261">
        <v>59504897</v>
      </c>
      <c r="G261">
        <v>45427.666666666672</v>
      </c>
      <c r="H261">
        <v>72.02</v>
      </c>
      <c r="I261">
        <v>72.16</v>
      </c>
      <c r="J261">
        <v>71.936000000000007</v>
      </c>
      <c r="K261">
        <v>72.11</v>
      </c>
      <c r="L261">
        <v>4208189</v>
      </c>
    </row>
    <row r="262" spans="1:12" x14ac:dyDescent="0.3">
      <c r="A262">
        <v>45426.666666666672</v>
      </c>
      <c r="B262">
        <v>521.11</v>
      </c>
      <c r="C262">
        <v>523.83000000000004</v>
      </c>
      <c r="D262">
        <v>520.55999999999995</v>
      </c>
      <c r="E262">
        <v>523.29999999999995</v>
      </c>
      <c r="F262">
        <v>57535867</v>
      </c>
      <c r="G262">
        <v>45426.666666666672</v>
      </c>
      <c r="H262">
        <v>71.63</v>
      </c>
      <c r="I262">
        <v>71.7</v>
      </c>
      <c r="J262">
        <v>71.540000000000006</v>
      </c>
      <c r="K262">
        <v>71.650000000000006</v>
      </c>
      <c r="L262">
        <v>4272618</v>
      </c>
    </row>
    <row r="263" spans="1:12" x14ac:dyDescent="0.3">
      <c r="A263">
        <v>45425.666666666672</v>
      </c>
      <c r="B263">
        <v>522.55999999999995</v>
      </c>
      <c r="C263">
        <v>522.66999999999996</v>
      </c>
      <c r="D263">
        <v>519.74</v>
      </c>
      <c r="E263">
        <v>520.91</v>
      </c>
      <c r="F263">
        <v>36716361</v>
      </c>
      <c r="G263">
        <v>45425.666666666672</v>
      </c>
      <c r="H263">
        <v>71.599999999999994</v>
      </c>
      <c r="I263">
        <v>71.599999999999994</v>
      </c>
      <c r="J263">
        <v>71.430000000000007</v>
      </c>
      <c r="K263">
        <v>71.44</v>
      </c>
      <c r="L263">
        <v>5600592</v>
      </c>
    </row>
    <row r="264" spans="1:12" x14ac:dyDescent="0.3">
      <c r="A264">
        <v>45422.666666666672</v>
      </c>
      <c r="B264">
        <v>521.80999999999995</v>
      </c>
      <c r="C264">
        <v>522.63499999999999</v>
      </c>
      <c r="D264">
        <v>519.59</v>
      </c>
      <c r="E264">
        <v>520.84</v>
      </c>
      <c r="F264">
        <v>52233171</v>
      </c>
      <c r="G264">
        <v>45422.666666666672</v>
      </c>
      <c r="H264">
        <v>71.459999999999994</v>
      </c>
      <c r="I264">
        <v>71.48</v>
      </c>
      <c r="J264">
        <v>71.349999999999994</v>
      </c>
      <c r="K264">
        <v>71.38</v>
      </c>
      <c r="L264">
        <v>5562020</v>
      </c>
    </row>
    <row r="265" spans="1:12" x14ac:dyDescent="0.3">
      <c r="A265">
        <v>45421.666666666672</v>
      </c>
      <c r="B265">
        <v>517.38</v>
      </c>
      <c r="C265">
        <v>520.20740000000001</v>
      </c>
      <c r="D265">
        <v>516.70500000000004</v>
      </c>
      <c r="E265">
        <v>520.16999999999996</v>
      </c>
      <c r="F265">
        <v>43643668</v>
      </c>
      <c r="G265">
        <v>45421.666666666672</v>
      </c>
      <c r="H265">
        <v>71.400000000000006</v>
      </c>
      <c r="I265">
        <v>71.62</v>
      </c>
      <c r="J265">
        <v>71.36</v>
      </c>
      <c r="K265">
        <v>71.58</v>
      </c>
      <c r="L265">
        <v>4525228</v>
      </c>
    </row>
    <row r="266" spans="1:12" x14ac:dyDescent="0.3">
      <c r="A266">
        <v>45420.666666666672</v>
      </c>
      <c r="B266">
        <v>515.26</v>
      </c>
      <c r="C266">
        <v>517.74</v>
      </c>
      <c r="D266">
        <v>515.14</v>
      </c>
      <c r="E266">
        <v>517.19000000000005</v>
      </c>
      <c r="F266">
        <v>42047214</v>
      </c>
      <c r="G266">
        <v>45420.666666666672</v>
      </c>
      <c r="H266">
        <v>71.42</v>
      </c>
      <c r="I266">
        <v>71.47</v>
      </c>
      <c r="J266">
        <v>71.39</v>
      </c>
      <c r="K266">
        <v>71.39</v>
      </c>
      <c r="L266">
        <v>6774498</v>
      </c>
    </row>
    <row r="267" spans="1:12" x14ac:dyDescent="0.3">
      <c r="A267">
        <v>45419.666666666672</v>
      </c>
      <c r="B267">
        <v>517.55999999999995</v>
      </c>
      <c r="C267">
        <v>518.57000000000005</v>
      </c>
      <c r="D267">
        <v>516.45000000000005</v>
      </c>
      <c r="E267">
        <v>517.14</v>
      </c>
      <c r="F267">
        <v>52561299</v>
      </c>
      <c r="G267">
        <v>45419.666666666672</v>
      </c>
      <c r="H267">
        <v>71.64</v>
      </c>
      <c r="I267">
        <v>71.729900000000001</v>
      </c>
      <c r="J267">
        <v>71.510000000000005</v>
      </c>
      <c r="K267">
        <v>71.56</v>
      </c>
      <c r="L267">
        <v>4635423</v>
      </c>
    </row>
    <row r="268" spans="1:12" x14ac:dyDescent="0.3">
      <c r="A268">
        <v>45418.666666666672</v>
      </c>
      <c r="B268">
        <v>513.75</v>
      </c>
      <c r="C268">
        <v>516.61</v>
      </c>
      <c r="D268">
        <v>513.29999999999995</v>
      </c>
      <c r="E268">
        <v>516.57000000000005</v>
      </c>
      <c r="F268">
        <v>47264703</v>
      </c>
      <c r="G268">
        <v>45418.666666666672</v>
      </c>
      <c r="H268">
        <v>71.400000000000006</v>
      </c>
      <c r="I268">
        <v>71.47</v>
      </c>
      <c r="J268">
        <v>71.34</v>
      </c>
      <c r="K268">
        <v>71.42</v>
      </c>
      <c r="L268">
        <v>5584447</v>
      </c>
    </row>
    <row r="269" spans="1:12" x14ac:dyDescent="0.3">
      <c r="A269">
        <v>45415.666666666672</v>
      </c>
      <c r="B269">
        <v>511.16</v>
      </c>
      <c r="C269">
        <v>512.54999999999995</v>
      </c>
      <c r="D269">
        <v>508.56</v>
      </c>
      <c r="E269">
        <v>511.29</v>
      </c>
      <c r="F269">
        <v>72756709</v>
      </c>
      <c r="G269">
        <v>45415.666666666672</v>
      </c>
      <c r="H269">
        <v>71.45</v>
      </c>
      <c r="I269">
        <v>71.55</v>
      </c>
      <c r="J269">
        <v>71.179900000000004</v>
      </c>
      <c r="K269">
        <v>71.349999999999994</v>
      </c>
      <c r="L269">
        <v>7256902</v>
      </c>
    </row>
    <row r="270" spans="1:12" x14ac:dyDescent="0.3">
      <c r="A270">
        <v>45414.666666666672</v>
      </c>
      <c r="B270">
        <v>504.15</v>
      </c>
      <c r="C270">
        <v>505.89</v>
      </c>
      <c r="D270">
        <v>499.55</v>
      </c>
      <c r="E270">
        <v>505.03</v>
      </c>
      <c r="F270">
        <v>62550179</v>
      </c>
      <c r="G270">
        <v>45414.666666666672</v>
      </c>
      <c r="H270">
        <v>70.69</v>
      </c>
      <c r="I270">
        <v>71.02</v>
      </c>
      <c r="J270">
        <v>70.650000000000006</v>
      </c>
      <c r="K270">
        <v>70.989999999999995</v>
      </c>
      <c r="L270">
        <v>6014840</v>
      </c>
    </row>
    <row r="271" spans="1:12" x14ac:dyDescent="0.3">
      <c r="A271">
        <v>45413.666666666672</v>
      </c>
      <c r="B271">
        <v>501.38</v>
      </c>
      <c r="C271">
        <v>508.19</v>
      </c>
      <c r="D271">
        <v>499.86500000000001</v>
      </c>
      <c r="E271">
        <v>500.35</v>
      </c>
      <c r="F271">
        <v>80242839</v>
      </c>
      <c r="G271">
        <v>45413.666666666672</v>
      </c>
      <c r="H271">
        <v>70.599999999999994</v>
      </c>
      <c r="I271">
        <v>70.930000000000007</v>
      </c>
      <c r="J271">
        <v>70.5</v>
      </c>
      <c r="K271">
        <v>70.709999999999994</v>
      </c>
      <c r="L271">
        <v>8119154</v>
      </c>
    </row>
    <row r="272" spans="1:12" x14ac:dyDescent="0.3">
      <c r="A272">
        <v>45412.666666666672</v>
      </c>
      <c r="B272">
        <v>508.56</v>
      </c>
      <c r="C272">
        <v>509.56</v>
      </c>
      <c r="D272">
        <v>501.98</v>
      </c>
      <c r="E272">
        <v>501.98</v>
      </c>
      <c r="F272">
        <v>77483566</v>
      </c>
      <c r="G272">
        <v>45412.666666666672</v>
      </c>
      <c r="H272">
        <v>70.73</v>
      </c>
      <c r="I272">
        <v>70.84</v>
      </c>
      <c r="J272">
        <v>70.61</v>
      </c>
      <c r="K272">
        <v>70.67</v>
      </c>
      <c r="L272">
        <v>6605819</v>
      </c>
    </row>
    <row r="273" spans="1:12" x14ac:dyDescent="0.3">
      <c r="A273">
        <v>45411.666666666672</v>
      </c>
      <c r="B273">
        <v>510.09</v>
      </c>
      <c r="C273">
        <v>510.75</v>
      </c>
      <c r="D273">
        <v>507.25</v>
      </c>
      <c r="E273">
        <v>510.06</v>
      </c>
      <c r="F273">
        <v>46415449</v>
      </c>
      <c r="G273">
        <v>45411.666666666672</v>
      </c>
      <c r="H273">
        <v>70.849999999999994</v>
      </c>
      <c r="I273">
        <v>70.98</v>
      </c>
      <c r="J273">
        <v>70.819999999999993</v>
      </c>
      <c r="K273">
        <v>70.94</v>
      </c>
      <c r="L273">
        <v>4799676</v>
      </c>
    </row>
    <row r="274" spans="1:12" x14ac:dyDescent="0.3">
      <c r="A274">
        <v>45408.666666666672</v>
      </c>
      <c r="B274">
        <v>506.35</v>
      </c>
      <c r="C274">
        <v>509.88</v>
      </c>
      <c r="D274">
        <v>505.7</v>
      </c>
      <c r="E274">
        <v>508.26</v>
      </c>
      <c r="F274">
        <v>64306118</v>
      </c>
      <c r="G274">
        <v>45408.666666666672</v>
      </c>
      <c r="H274">
        <v>70.7</v>
      </c>
      <c r="I274">
        <v>70.83</v>
      </c>
      <c r="J274">
        <v>70.7</v>
      </c>
      <c r="K274">
        <v>70.73</v>
      </c>
      <c r="L274">
        <v>4256567</v>
      </c>
    </row>
    <row r="275" spans="1:12" x14ac:dyDescent="0.3">
      <c r="A275">
        <v>45407.666666666672</v>
      </c>
      <c r="B275">
        <v>499.18</v>
      </c>
      <c r="C275">
        <v>504.27</v>
      </c>
      <c r="D275">
        <v>497.49</v>
      </c>
      <c r="E275">
        <v>503.49</v>
      </c>
      <c r="F275">
        <v>69122368</v>
      </c>
      <c r="G275">
        <v>45407.666666666672</v>
      </c>
      <c r="H275">
        <v>70.45</v>
      </c>
      <c r="I275">
        <v>70.59</v>
      </c>
      <c r="J275">
        <v>70.37</v>
      </c>
      <c r="K275">
        <v>70.569999999999993</v>
      </c>
      <c r="L275">
        <v>5367529</v>
      </c>
    </row>
    <row r="276" spans="1:12" x14ac:dyDescent="0.3">
      <c r="A276">
        <v>45406.666666666672</v>
      </c>
      <c r="B276">
        <v>506.56</v>
      </c>
      <c r="C276">
        <v>507.37</v>
      </c>
      <c r="D276">
        <v>503.13</v>
      </c>
      <c r="E276">
        <v>505.41</v>
      </c>
      <c r="F276">
        <v>55928076</v>
      </c>
      <c r="G276">
        <v>45406.666666666672</v>
      </c>
      <c r="H276">
        <v>70.84</v>
      </c>
      <c r="I276">
        <v>70.84</v>
      </c>
      <c r="J276">
        <v>70.63</v>
      </c>
      <c r="K276">
        <v>70.77</v>
      </c>
      <c r="L276">
        <v>4616616</v>
      </c>
    </row>
    <row r="277" spans="1:12" x14ac:dyDescent="0.3">
      <c r="A277">
        <v>45405.666666666672</v>
      </c>
      <c r="B277">
        <v>501.78</v>
      </c>
      <c r="C277">
        <v>506.09</v>
      </c>
      <c r="D277">
        <v>499.53280000000001</v>
      </c>
      <c r="E277">
        <v>505.65</v>
      </c>
      <c r="F277">
        <v>64633620</v>
      </c>
      <c r="G277">
        <v>45405.666666666672</v>
      </c>
      <c r="H277">
        <v>70.78</v>
      </c>
      <c r="I277">
        <v>71.11</v>
      </c>
      <c r="J277">
        <v>70.709999999999994</v>
      </c>
      <c r="K277">
        <v>70.95</v>
      </c>
      <c r="L277">
        <v>6044535</v>
      </c>
    </row>
    <row r="278" spans="1:12" x14ac:dyDescent="0.3">
      <c r="A278">
        <v>45404.666666666672</v>
      </c>
      <c r="B278">
        <v>497.83</v>
      </c>
      <c r="C278">
        <v>502.38</v>
      </c>
      <c r="D278">
        <v>495.43</v>
      </c>
      <c r="E278">
        <v>499.72</v>
      </c>
      <c r="F278">
        <v>67961048</v>
      </c>
      <c r="G278">
        <v>45404.666666666672</v>
      </c>
      <c r="H278">
        <v>70.760000000000005</v>
      </c>
      <c r="I278">
        <v>70.879400000000004</v>
      </c>
      <c r="J278">
        <v>70.72</v>
      </c>
      <c r="K278">
        <v>70.819999999999993</v>
      </c>
      <c r="L278">
        <v>5938472</v>
      </c>
    </row>
    <row r="279" spans="1:12" x14ac:dyDescent="0.3">
      <c r="A279">
        <v>45401.666666666672</v>
      </c>
      <c r="B279">
        <v>499.44</v>
      </c>
      <c r="C279">
        <v>500.45499999999998</v>
      </c>
      <c r="D279">
        <v>493.86</v>
      </c>
      <c r="E279">
        <v>495.16</v>
      </c>
      <c r="F279">
        <v>102212587</v>
      </c>
      <c r="G279">
        <v>45401.666666666672</v>
      </c>
      <c r="H279">
        <v>70.849999999999994</v>
      </c>
      <c r="I279">
        <v>70.879599999999996</v>
      </c>
      <c r="J279">
        <v>70.730099999999993</v>
      </c>
      <c r="K279">
        <v>70.790000000000006</v>
      </c>
      <c r="L279">
        <v>8338525</v>
      </c>
    </row>
    <row r="280" spans="1:12" x14ac:dyDescent="0.3">
      <c r="A280">
        <v>45400.666666666672</v>
      </c>
      <c r="B280">
        <v>501.98</v>
      </c>
      <c r="C280">
        <v>504.13</v>
      </c>
      <c r="D280">
        <v>498.56</v>
      </c>
      <c r="E280">
        <v>499.52</v>
      </c>
      <c r="F280">
        <v>74548085</v>
      </c>
      <c r="G280">
        <v>45400.666666666672</v>
      </c>
      <c r="H280">
        <v>70.88</v>
      </c>
      <c r="I280">
        <v>70.89</v>
      </c>
      <c r="J280">
        <v>70.64</v>
      </c>
      <c r="K280">
        <v>70.7</v>
      </c>
      <c r="L280">
        <v>6349599</v>
      </c>
    </row>
    <row r="281" spans="1:12" x14ac:dyDescent="0.3">
      <c r="A281">
        <v>45399.666666666672</v>
      </c>
      <c r="B281">
        <v>506.05</v>
      </c>
      <c r="C281">
        <v>506.22</v>
      </c>
      <c r="D281">
        <v>499.12</v>
      </c>
      <c r="E281">
        <v>500.55</v>
      </c>
      <c r="F281">
        <v>75910305</v>
      </c>
      <c r="G281">
        <v>45399.666666666672</v>
      </c>
      <c r="H281">
        <v>70.77</v>
      </c>
      <c r="I281">
        <v>70.94</v>
      </c>
      <c r="J281">
        <v>70.66</v>
      </c>
      <c r="K281">
        <v>70.89</v>
      </c>
      <c r="L281">
        <v>6568516</v>
      </c>
    </row>
    <row r="282" spans="1:12" x14ac:dyDescent="0.3">
      <c r="A282">
        <v>45398.666666666672</v>
      </c>
      <c r="B282">
        <v>504.94</v>
      </c>
      <c r="C282">
        <v>506.5</v>
      </c>
      <c r="D282">
        <v>502.21</v>
      </c>
      <c r="E282">
        <v>503.53</v>
      </c>
      <c r="F282">
        <v>73484020</v>
      </c>
      <c r="G282">
        <v>45398.666666666672</v>
      </c>
      <c r="H282">
        <v>70.52</v>
      </c>
      <c r="I282">
        <v>70.61</v>
      </c>
      <c r="J282">
        <v>70.415000000000006</v>
      </c>
      <c r="K282">
        <v>70.55</v>
      </c>
      <c r="L282">
        <v>14378960</v>
      </c>
    </row>
    <row r="283" spans="1:12" x14ac:dyDescent="0.3">
      <c r="A283">
        <v>45397.666666666672</v>
      </c>
      <c r="B283">
        <v>515.13</v>
      </c>
      <c r="C283">
        <v>515.29999999999995</v>
      </c>
      <c r="D283">
        <v>503.58</v>
      </c>
      <c r="E283">
        <v>504.45</v>
      </c>
      <c r="F283">
        <v>92101447</v>
      </c>
      <c r="G283">
        <v>45397.666666666672</v>
      </c>
      <c r="H283">
        <v>70.849999999999994</v>
      </c>
      <c r="I283">
        <v>70.86</v>
      </c>
      <c r="J283">
        <v>70.63</v>
      </c>
      <c r="K283">
        <v>70.73</v>
      </c>
      <c r="L283">
        <v>8079403</v>
      </c>
    </row>
    <row r="284" spans="1:12" x14ac:dyDescent="0.3">
      <c r="A284">
        <v>45394.666666666672</v>
      </c>
      <c r="B284">
        <v>514.37</v>
      </c>
      <c r="C284">
        <v>515.81500000000005</v>
      </c>
      <c r="D284">
        <v>509.08</v>
      </c>
      <c r="E284">
        <v>510.85</v>
      </c>
      <c r="F284">
        <v>92561094</v>
      </c>
      <c r="G284">
        <v>45394.666666666672</v>
      </c>
      <c r="H284">
        <v>71.260000000000005</v>
      </c>
      <c r="I284">
        <v>71.349999999999994</v>
      </c>
      <c r="J284">
        <v>71.19</v>
      </c>
      <c r="K284">
        <v>71.2</v>
      </c>
      <c r="L284">
        <v>12479150</v>
      </c>
    </row>
    <row r="285" spans="1:12" x14ac:dyDescent="0.3">
      <c r="A285">
        <v>45393.666666666672</v>
      </c>
      <c r="B285">
        <v>515.67999999999995</v>
      </c>
      <c r="C285">
        <v>519.48</v>
      </c>
      <c r="D285">
        <v>512.08000000000004</v>
      </c>
      <c r="E285">
        <v>518</v>
      </c>
      <c r="F285">
        <v>70099007</v>
      </c>
      <c r="G285">
        <v>45393.666666666672</v>
      </c>
      <c r="H285">
        <v>71.19</v>
      </c>
      <c r="I285">
        <v>71.232399999999998</v>
      </c>
      <c r="J285">
        <v>70.91</v>
      </c>
      <c r="K285">
        <v>71.040000000000006</v>
      </c>
      <c r="L285">
        <v>16574145</v>
      </c>
    </row>
    <row r="286" spans="1:12" x14ac:dyDescent="0.3">
      <c r="A286">
        <v>45392.666666666672</v>
      </c>
      <c r="B286">
        <v>513.48</v>
      </c>
      <c r="C286">
        <v>516.16</v>
      </c>
      <c r="D286">
        <v>512.09</v>
      </c>
      <c r="E286">
        <v>514.12</v>
      </c>
      <c r="F286">
        <v>82652806</v>
      </c>
      <c r="G286">
        <v>45392.666666666672</v>
      </c>
      <c r="H286">
        <v>71.38</v>
      </c>
      <c r="I286">
        <v>71.394999999999996</v>
      </c>
      <c r="J286">
        <v>71.010000000000005</v>
      </c>
      <c r="K286">
        <v>71.040000000000006</v>
      </c>
      <c r="L286">
        <v>8196476</v>
      </c>
    </row>
    <row r="287" spans="1:12" x14ac:dyDescent="0.3">
      <c r="A287">
        <v>45391.666666666672</v>
      </c>
      <c r="B287">
        <v>520.5</v>
      </c>
      <c r="C287">
        <v>520.75</v>
      </c>
      <c r="D287">
        <v>514.35</v>
      </c>
      <c r="E287">
        <v>519.32000000000005</v>
      </c>
      <c r="F287">
        <v>67283576</v>
      </c>
      <c r="G287">
        <v>45391.666666666672</v>
      </c>
      <c r="H287">
        <v>71.819999999999993</v>
      </c>
      <c r="I287">
        <v>71.930000000000007</v>
      </c>
      <c r="J287">
        <v>71.81</v>
      </c>
      <c r="K287">
        <v>71.88</v>
      </c>
      <c r="L287">
        <v>8886198</v>
      </c>
    </row>
    <row r="288" spans="1:12" x14ac:dyDescent="0.3">
      <c r="A288">
        <v>45390.666666666672</v>
      </c>
      <c r="B288">
        <v>519.15</v>
      </c>
      <c r="C288">
        <v>520.17999999999995</v>
      </c>
      <c r="D288">
        <v>517.89</v>
      </c>
      <c r="E288">
        <v>518.72</v>
      </c>
      <c r="F288">
        <v>47850048</v>
      </c>
      <c r="G288">
        <v>45390.666666666672</v>
      </c>
      <c r="H288">
        <v>71.614999999999995</v>
      </c>
      <c r="I288">
        <v>71.7</v>
      </c>
      <c r="J288">
        <v>71.569999999999993</v>
      </c>
      <c r="K288">
        <v>71.62</v>
      </c>
      <c r="L288">
        <v>13872664</v>
      </c>
    </row>
    <row r="289" spans="1:12" x14ac:dyDescent="0.3">
      <c r="A289">
        <v>45387.666666666672</v>
      </c>
      <c r="B289">
        <v>514.46</v>
      </c>
      <c r="C289">
        <v>520.44000000000005</v>
      </c>
      <c r="D289">
        <v>514.01</v>
      </c>
      <c r="E289">
        <v>518.42999999999995</v>
      </c>
      <c r="F289">
        <v>73736571</v>
      </c>
      <c r="G289">
        <v>45387.666666666672</v>
      </c>
      <c r="H289">
        <v>71.765000000000001</v>
      </c>
      <c r="I289">
        <v>71.930000000000007</v>
      </c>
      <c r="J289">
        <v>71.680000000000007</v>
      </c>
      <c r="K289">
        <v>71.680000000000007</v>
      </c>
      <c r="L289">
        <v>11530562</v>
      </c>
    </row>
    <row r="290" spans="1:12" x14ac:dyDescent="0.3">
      <c r="A290">
        <v>45386.666666666672</v>
      </c>
      <c r="B290">
        <v>523.52</v>
      </c>
      <c r="C290">
        <v>523.86739999999998</v>
      </c>
      <c r="D290">
        <v>512.755</v>
      </c>
      <c r="E290">
        <v>513.07000000000005</v>
      </c>
      <c r="F290">
        <v>95643401</v>
      </c>
      <c r="G290">
        <v>45386.666666666672</v>
      </c>
      <c r="H290">
        <v>72.06</v>
      </c>
      <c r="I290">
        <v>72.06</v>
      </c>
      <c r="J290">
        <v>71.87</v>
      </c>
      <c r="K290">
        <v>72.040000000000006</v>
      </c>
      <c r="L290">
        <v>12412331</v>
      </c>
    </row>
    <row r="291" spans="1:12" x14ac:dyDescent="0.3">
      <c r="A291">
        <v>45385.666666666672</v>
      </c>
      <c r="B291">
        <v>517.72</v>
      </c>
      <c r="C291">
        <v>520.95000000000005</v>
      </c>
      <c r="D291">
        <v>517.66499999999996</v>
      </c>
      <c r="E291">
        <v>519.41</v>
      </c>
      <c r="F291">
        <v>58385823</v>
      </c>
      <c r="G291">
        <v>45385.666666666672</v>
      </c>
      <c r="H291">
        <v>71.650000000000006</v>
      </c>
      <c r="I291">
        <v>71.900000000000006</v>
      </c>
      <c r="J291">
        <v>71.555000000000007</v>
      </c>
      <c r="K291">
        <v>71.89</v>
      </c>
      <c r="L291">
        <v>5417814</v>
      </c>
    </row>
    <row r="292" spans="1:12" x14ac:dyDescent="0.3">
      <c r="A292">
        <v>45384.666666666672</v>
      </c>
      <c r="B292">
        <v>518.24</v>
      </c>
      <c r="C292">
        <v>518.98</v>
      </c>
      <c r="D292">
        <v>516.48</v>
      </c>
      <c r="E292">
        <v>518.84</v>
      </c>
      <c r="F292">
        <v>72924463</v>
      </c>
      <c r="G292">
        <v>45384.666666666672</v>
      </c>
      <c r="H292">
        <v>71.680000000000007</v>
      </c>
      <c r="I292">
        <v>71.849999999999994</v>
      </c>
      <c r="J292">
        <v>71.584999999999994</v>
      </c>
      <c r="K292">
        <v>71.84</v>
      </c>
      <c r="L292">
        <v>9040460</v>
      </c>
    </row>
    <row r="293" spans="1:12" x14ac:dyDescent="0.3">
      <c r="A293">
        <v>45383.666666666672</v>
      </c>
      <c r="B293">
        <v>523.83000000000004</v>
      </c>
      <c r="C293">
        <v>524.38</v>
      </c>
      <c r="D293">
        <v>520.97</v>
      </c>
      <c r="E293">
        <v>522.16</v>
      </c>
      <c r="F293">
        <v>61182995</v>
      </c>
      <c r="G293">
        <v>45383.666666666672</v>
      </c>
      <c r="H293">
        <v>72.150000000000006</v>
      </c>
      <c r="I293">
        <v>72.19</v>
      </c>
      <c r="J293">
        <v>71.86</v>
      </c>
      <c r="K293">
        <v>71.92</v>
      </c>
      <c r="L293">
        <v>6156573</v>
      </c>
    </row>
    <row r="294" spans="1:12" x14ac:dyDescent="0.3">
      <c r="A294">
        <v>45379.666666666672</v>
      </c>
      <c r="B294">
        <v>523.21</v>
      </c>
      <c r="C294">
        <v>524.61</v>
      </c>
      <c r="D294">
        <v>522.78</v>
      </c>
      <c r="E294">
        <v>523.07000000000005</v>
      </c>
      <c r="F294">
        <v>96294886</v>
      </c>
      <c r="G294">
        <v>45379.666666666672</v>
      </c>
      <c r="H294">
        <v>72.64</v>
      </c>
      <c r="I294">
        <v>72.75</v>
      </c>
      <c r="J294">
        <v>72.569999999999993</v>
      </c>
      <c r="K294">
        <v>72.63</v>
      </c>
      <c r="L294">
        <v>5326433</v>
      </c>
    </row>
    <row r="295" spans="1:12" x14ac:dyDescent="0.3">
      <c r="A295">
        <v>45378.666666666672</v>
      </c>
      <c r="B295">
        <v>521.71</v>
      </c>
      <c r="C295">
        <v>523.21</v>
      </c>
      <c r="D295">
        <v>519.48500000000001</v>
      </c>
      <c r="E295">
        <v>523.16999999999996</v>
      </c>
      <c r="F295">
        <v>82999777</v>
      </c>
      <c r="G295">
        <v>45378.666666666672</v>
      </c>
      <c r="H295">
        <v>72.569999999999993</v>
      </c>
      <c r="I295">
        <v>72.745000000000005</v>
      </c>
      <c r="J295">
        <v>72.52</v>
      </c>
      <c r="K295">
        <v>72.72</v>
      </c>
      <c r="L295">
        <v>7825225</v>
      </c>
    </row>
    <row r="296" spans="1:12" x14ac:dyDescent="0.3">
      <c r="A296">
        <v>45377.666666666672</v>
      </c>
      <c r="B296">
        <v>521.23</v>
      </c>
      <c r="C296">
        <v>521.58000000000004</v>
      </c>
      <c r="D296">
        <v>518.4</v>
      </c>
      <c r="E296">
        <v>518.80999999999995</v>
      </c>
      <c r="F296">
        <v>65463744</v>
      </c>
      <c r="G296">
        <v>45377.666666666672</v>
      </c>
      <c r="H296">
        <v>72.44</v>
      </c>
      <c r="I296">
        <v>72.489999999999995</v>
      </c>
      <c r="J296">
        <v>72.319999999999993</v>
      </c>
      <c r="K296">
        <v>72.47</v>
      </c>
      <c r="L296">
        <v>7603214</v>
      </c>
    </row>
    <row r="297" spans="1:12" x14ac:dyDescent="0.3">
      <c r="A297">
        <v>45376.666666666672</v>
      </c>
      <c r="B297">
        <v>519.79999999999995</v>
      </c>
      <c r="C297">
        <v>520.95000000000005</v>
      </c>
      <c r="D297">
        <v>519.61</v>
      </c>
      <c r="E297">
        <v>519.77</v>
      </c>
      <c r="F297">
        <v>48512108</v>
      </c>
      <c r="G297">
        <v>45376.666666666672</v>
      </c>
      <c r="H297">
        <v>72.5</v>
      </c>
      <c r="I297">
        <v>72.5</v>
      </c>
      <c r="J297">
        <v>72.36</v>
      </c>
      <c r="K297">
        <v>72.41</v>
      </c>
      <c r="L297">
        <v>7950495</v>
      </c>
    </row>
    <row r="298" spans="1:12" x14ac:dyDescent="0.3">
      <c r="A298">
        <v>45373.666666666672</v>
      </c>
      <c r="B298">
        <v>522.11</v>
      </c>
      <c r="C298">
        <v>522.60500000000002</v>
      </c>
      <c r="D298">
        <v>520.97</v>
      </c>
      <c r="E298">
        <v>521.21</v>
      </c>
      <c r="F298">
        <v>79070842</v>
      </c>
      <c r="G298">
        <v>45373.666666666672</v>
      </c>
      <c r="H298">
        <v>72.61</v>
      </c>
      <c r="I298">
        <v>72.62</v>
      </c>
      <c r="J298">
        <v>72.489999999999995</v>
      </c>
      <c r="K298">
        <v>72.55</v>
      </c>
      <c r="L298">
        <v>4169478</v>
      </c>
    </row>
    <row r="299" spans="1:12" x14ac:dyDescent="0.3">
      <c r="A299">
        <v>45372.666666666672</v>
      </c>
      <c r="B299">
        <v>523.39</v>
      </c>
      <c r="C299">
        <v>524.11</v>
      </c>
      <c r="D299">
        <v>521.91</v>
      </c>
      <c r="E299">
        <v>522.20000000000005</v>
      </c>
      <c r="F299">
        <v>60256112</v>
      </c>
      <c r="G299">
        <v>45372.666666666672</v>
      </c>
      <c r="H299">
        <v>72.400000000000006</v>
      </c>
      <c r="I299">
        <v>72.44</v>
      </c>
      <c r="J299">
        <v>72.239999999999995</v>
      </c>
      <c r="K299">
        <v>72.31</v>
      </c>
      <c r="L299">
        <v>5492889</v>
      </c>
    </row>
    <row r="300" spans="1:12" x14ac:dyDescent="0.3">
      <c r="A300">
        <v>45371.666666666672</v>
      </c>
      <c r="B300">
        <v>515.77</v>
      </c>
      <c r="C300">
        <v>520.62</v>
      </c>
      <c r="D300">
        <v>515.08000000000004</v>
      </c>
      <c r="E300">
        <v>520.48</v>
      </c>
      <c r="F300">
        <v>69594574</v>
      </c>
      <c r="G300">
        <v>45371.666666666672</v>
      </c>
      <c r="H300">
        <v>72.17</v>
      </c>
      <c r="I300">
        <v>72.39</v>
      </c>
      <c r="J300">
        <v>72.034000000000006</v>
      </c>
      <c r="K300">
        <v>72.25</v>
      </c>
      <c r="L300">
        <v>5287243</v>
      </c>
    </row>
    <row r="301" spans="1:12" x14ac:dyDescent="0.3">
      <c r="A301">
        <v>45370.666666666672</v>
      </c>
      <c r="B301">
        <v>512.15</v>
      </c>
      <c r="C301">
        <v>515.995</v>
      </c>
      <c r="D301">
        <v>511.12</v>
      </c>
      <c r="E301">
        <v>515.71</v>
      </c>
      <c r="F301">
        <v>60755263</v>
      </c>
      <c r="G301">
        <v>45370.666666666672</v>
      </c>
      <c r="H301">
        <v>72.05</v>
      </c>
      <c r="I301">
        <v>72.19</v>
      </c>
      <c r="J301">
        <v>72.021900000000002</v>
      </c>
      <c r="K301">
        <v>72.12</v>
      </c>
      <c r="L301">
        <v>4560060</v>
      </c>
    </row>
    <row r="302" spans="1:12" x14ac:dyDescent="0.3">
      <c r="A302">
        <v>45369.666666666672</v>
      </c>
      <c r="B302">
        <v>514</v>
      </c>
      <c r="C302">
        <v>515.48</v>
      </c>
      <c r="D302">
        <v>512.44000000000005</v>
      </c>
      <c r="E302">
        <v>512.86</v>
      </c>
      <c r="F302">
        <v>88893331</v>
      </c>
      <c r="G302">
        <v>45369.666666666672</v>
      </c>
      <c r="H302">
        <v>72.010000000000005</v>
      </c>
      <c r="I302">
        <v>72.040000000000006</v>
      </c>
      <c r="J302">
        <v>71.900000000000006</v>
      </c>
      <c r="K302">
        <v>71.930000000000007</v>
      </c>
      <c r="L302">
        <v>5284212</v>
      </c>
    </row>
    <row r="303" spans="1:12" x14ac:dyDescent="0.3">
      <c r="A303">
        <v>45366.666666666672</v>
      </c>
      <c r="B303">
        <v>510.21</v>
      </c>
      <c r="C303">
        <v>511.7</v>
      </c>
      <c r="D303">
        <v>508.12200000000001</v>
      </c>
      <c r="E303">
        <v>509.83</v>
      </c>
      <c r="F303">
        <v>107646297</v>
      </c>
      <c r="G303">
        <v>45366.666666666672</v>
      </c>
      <c r="H303">
        <v>72.03</v>
      </c>
      <c r="I303">
        <v>72.105000000000004</v>
      </c>
      <c r="J303">
        <v>71.97</v>
      </c>
      <c r="K303">
        <v>72.02</v>
      </c>
      <c r="L303">
        <v>4784121</v>
      </c>
    </row>
    <row r="304" spans="1:12" x14ac:dyDescent="0.3">
      <c r="A304">
        <v>45365.666666666672</v>
      </c>
      <c r="B304">
        <v>516.97</v>
      </c>
      <c r="C304">
        <v>517.125</v>
      </c>
      <c r="D304">
        <v>511.82</v>
      </c>
      <c r="E304">
        <v>514.95000000000005</v>
      </c>
      <c r="F304">
        <v>103493184</v>
      </c>
      <c r="G304">
        <v>45365.666666666672</v>
      </c>
      <c r="H304">
        <v>72.3</v>
      </c>
      <c r="I304">
        <v>72.3</v>
      </c>
      <c r="J304">
        <v>72.05</v>
      </c>
      <c r="K304">
        <v>72.06</v>
      </c>
      <c r="L304">
        <v>5196486</v>
      </c>
    </row>
    <row r="305" spans="1:12" x14ac:dyDescent="0.3">
      <c r="A305">
        <v>45364.666666666672</v>
      </c>
      <c r="B305">
        <v>517.11</v>
      </c>
      <c r="C305">
        <v>517.29</v>
      </c>
      <c r="D305">
        <v>514.49</v>
      </c>
      <c r="E305">
        <v>515.97</v>
      </c>
      <c r="F305">
        <v>54438487</v>
      </c>
      <c r="G305">
        <v>45364.666666666672</v>
      </c>
      <c r="H305">
        <v>72.540000000000006</v>
      </c>
      <c r="I305">
        <v>72.62</v>
      </c>
      <c r="J305">
        <v>72.474999999999994</v>
      </c>
      <c r="K305">
        <v>72.489999999999995</v>
      </c>
      <c r="L305">
        <v>6110457</v>
      </c>
    </row>
    <row r="306" spans="1:12" x14ac:dyDescent="0.3">
      <c r="A306">
        <v>45363.666666666672</v>
      </c>
      <c r="B306">
        <v>513.45000000000005</v>
      </c>
      <c r="C306">
        <v>517.38</v>
      </c>
      <c r="D306">
        <v>510.86</v>
      </c>
      <c r="E306">
        <v>516.78</v>
      </c>
      <c r="F306">
        <v>70833119</v>
      </c>
      <c r="G306">
        <v>45363.666666666672</v>
      </c>
      <c r="H306">
        <v>72.709999999999994</v>
      </c>
      <c r="I306">
        <v>72.715400000000002</v>
      </c>
      <c r="J306">
        <v>72.545000000000002</v>
      </c>
      <c r="K306">
        <v>72.614999999999995</v>
      </c>
      <c r="L306">
        <v>4696269</v>
      </c>
    </row>
    <row r="307" spans="1:12" x14ac:dyDescent="0.3">
      <c r="A307">
        <v>45362.666666666672</v>
      </c>
      <c r="B307">
        <v>510.48</v>
      </c>
      <c r="C307">
        <v>511.88</v>
      </c>
      <c r="D307">
        <v>508.5</v>
      </c>
      <c r="E307">
        <v>511.28</v>
      </c>
      <c r="F307">
        <v>61872913</v>
      </c>
      <c r="G307">
        <v>45362.666666666672</v>
      </c>
      <c r="H307">
        <v>72.900000000000006</v>
      </c>
      <c r="I307">
        <v>72.91</v>
      </c>
      <c r="J307">
        <v>72.760000000000005</v>
      </c>
      <c r="K307">
        <v>72.83</v>
      </c>
      <c r="L307">
        <v>5623353</v>
      </c>
    </row>
    <row r="308" spans="1:12" x14ac:dyDescent="0.3">
      <c r="A308">
        <v>45359.666666666672</v>
      </c>
      <c r="B308">
        <v>515.46</v>
      </c>
      <c r="C308">
        <v>518.2201</v>
      </c>
      <c r="D308">
        <v>511.13</v>
      </c>
      <c r="E308">
        <v>511.72</v>
      </c>
      <c r="F308">
        <v>86532535</v>
      </c>
      <c r="G308">
        <v>45359.666666666672</v>
      </c>
      <c r="H308">
        <v>72.91</v>
      </c>
      <c r="I308">
        <v>72.965900000000005</v>
      </c>
      <c r="J308">
        <v>72.81</v>
      </c>
      <c r="K308">
        <v>72.86</v>
      </c>
      <c r="L308">
        <v>7187711</v>
      </c>
    </row>
    <row r="309" spans="1:12" x14ac:dyDescent="0.3">
      <c r="A309">
        <v>45358.666666666672</v>
      </c>
      <c r="B309">
        <v>513.14</v>
      </c>
      <c r="C309">
        <v>515.89</v>
      </c>
      <c r="D309">
        <v>509.80529999999999</v>
      </c>
      <c r="E309">
        <v>514.80999999999995</v>
      </c>
      <c r="F309">
        <v>58652085</v>
      </c>
      <c r="G309">
        <v>45358.666666666672</v>
      </c>
      <c r="H309">
        <v>72.84</v>
      </c>
      <c r="I309">
        <v>72.844999999999999</v>
      </c>
      <c r="J309">
        <v>72.66</v>
      </c>
      <c r="K309">
        <v>72.790000000000006</v>
      </c>
      <c r="L309">
        <v>7495571</v>
      </c>
    </row>
    <row r="310" spans="1:12" x14ac:dyDescent="0.3">
      <c r="A310">
        <v>45357.666666666672</v>
      </c>
      <c r="B310">
        <v>510.55</v>
      </c>
      <c r="C310">
        <v>512.06899999999996</v>
      </c>
      <c r="D310">
        <v>508.42</v>
      </c>
      <c r="E310">
        <v>509.75</v>
      </c>
      <c r="F310">
        <v>68382367</v>
      </c>
      <c r="G310">
        <v>45357.666666666672</v>
      </c>
      <c r="H310">
        <v>72.62</v>
      </c>
      <c r="I310">
        <v>72.81</v>
      </c>
      <c r="J310">
        <v>72.609899999999996</v>
      </c>
      <c r="K310">
        <v>72.67</v>
      </c>
      <c r="L310">
        <v>28955518</v>
      </c>
    </row>
    <row r="311" spans="1:12" x14ac:dyDescent="0.3">
      <c r="A311">
        <v>45356.666666666672</v>
      </c>
      <c r="B311">
        <v>510.24</v>
      </c>
      <c r="C311">
        <v>510.7</v>
      </c>
      <c r="D311">
        <v>504.91</v>
      </c>
      <c r="E311">
        <v>507.18</v>
      </c>
      <c r="F311">
        <v>72855623</v>
      </c>
      <c r="G311">
        <v>45356.666666666672</v>
      </c>
      <c r="H311">
        <v>72.45</v>
      </c>
      <c r="I311">
        <v>72.62</v>
      </c>
      <c r="J311">
        <v>72.39</v>
      </c>
      <c r="K311">
        <v>72.540000000000006</v>
      </c>
      <c r="L311">
        <v>6208592</v>
      </c>
    </row>
    <row r="312" spans="1:12" x14ac:dyDescent="0.3">
      <c r="A312">
        <v>45355.666666666672</v>
      </c>
      <c r="B312">
        <v>512.03</v>
      </c>
      <c r="C312">
        <v>514.20000000000005</v>
      </c>
      <c r="D312">
        <v>512</v>
      </c>
      <c r="E312">
        <v>512.29999999999995</v>
      </c>
      <c r="F312">
        <v>49799257</v>
      </c>
      <c r="G312">
        <v>45355.666666666672</v>
      </c>
      <c r="H312">
        <v>72.13</v>
      </c>
      <c r="I312">
        <v>72.23</v>
      </c>
      <c r="J312">
        <v>72.099999999999994</v>
      </c>
      <c r="K312">
        <v>72.150000000000006</v>
      </c>
      <c r="L312">
        <v>26404705</v>
      </c>
    </row>
    <row r="313" spans="1:12" x14ac:dyDescent="0.3">
      <c r="A313">
        <v>45352.666666666672</v>
      </c>
      <c r="B313">
        <v>508.98</v>
      </c>
      <c r="C313">
        <v>513.29</v>
      </c>
      <c r="D313">
        <v>508.56</v>
      </c>
      <c r="E313">
        <v>512.85</v>
      </c>
      <c r="F313">
        <v>76844844</v>
      </c>
      <c r="G313">
        <v>45352.666666666672</v>
      </c>
      <c r="H313">
        <v>71.94</v>
      </c>
      <c r="I313">
        <v>72.37</v>
      </c>
      <c r="J313">
        <v>71.81</v>
      </c>
      <c r="K313">
        <v>72.319999999999993</v>
      </c>
      <c r="L313">
        <v>6366776</v>
      </c>
    </row>
    <row r="314" spans="1:12" x14ac:dyDescent="0.3">
      <c r="A314">
        <v>45351.666666666672</v>
      </c>
      <c r="B314">
        <v>508.07</v>
      </c>
      <c r="C314">
        <v>509.74</v>
      </c>
      <c r="D314">
        <v>505.35</v>
      </c>
      <c r="E314">
        <v>508.08</v>
      </c>
      <c r="F314">
        <v>83924795</v>
      </c>
      <c r="G314">
        <v>45351.666666666672</v>
      </c>
      <c r="H314">
        <v>72.2</v>
      </c>
      <c r="I314">
        <v>72.355000000000004</v>
      </c>
      <c r="J314">
        <v>72.17</v>
      </c>
      <c r="K314">
        <v>72.22</v>
      </c>
      <c r="L314">
        <v>6002886</v>
      </c>
    </row>
    <row r="315" spans="1:12" x14ac:dyDescent="0.3">
      <c r="A315">
        <v>45350.666666666672</v>
      </c>
      <c r="B315">
        <v>505.33</v>
      </c>
      <c r="C315">
        <v>506.85500000000002</v>
      </c>
      <c r="D315">
        <v>504.96</v>
      </c>
      <c r="E315">
        <v>506.26</v>
      </c>
      <c r="F315">
        <v>56506634</v>
      </c>
      <c r="G315">
        <v>45350.666666666672</v>
      </c>
      <c r="H315">
        <v>72</v>
      </c>
      <c r="I315">
        <v>72.129900000000006</v>
      </c>
      <c r="J315">
        <v>71.962000000000003</v>
      </c>
      <c r="K315">
        <v>72.099999999999994</v>
      </c>
      <c r="L315">
        <v>5255305</v>
      </c>
    </row>
    <row r="316" spans="1:12" x14ac:dyDescent="0.3">
      <c r="A316">
        <v>45349.666666666672</v>
      </c>
      <c r="B316">
        <v>506.7</v>
      </c>
      <c r="C316">
        <v>507.16</v>
      </c>
      <c r="D316">
        <v>504.75</v>
      </c>
      <c r="E316">
        <v>506.93</v>
      </c>
      <c r="F316">
        <v>48854528</v>
      </c>
      <c r="G316">
        <v>45349.666666666672</v>
      </c>
      <c r="H316">
        <v>72.02</v>
      </c>
      <c r="I316">
        <v>72.109899999999996</v>
      </c>
      <c r="J316">
        <v>71.914199999999994</v>
      </c>
      <c r="K316">
        <v>71.94</v>
      </c>
      <c r="L316">
        <v>5534263</v>
      </c>
    </row>
    <row r="317" spans="1:12" x14ac:dyDescent="0.3">
      <c r="A317">
        <v>45348.666666666672</v>
      </c>
      <c r="B317">
        <v>508.3</v>
      </c>
      <c r="C317">
        <v>508.75</v>
      </c>
      <c r="D317">
        <v>505.86</v>
      </c>
      <c r="E317">
        <v>505.99</v>
      </c>
      <c r="F317">
        <v>50386738</v>
      </c>
      <c r="G317">
        <v>45348.666666666672</v>
      </c>
      <c r="H317">
        <v>72.2</v>
      </c>
      <c r="I317">
        <v>72.2</v>
      </c>
      <c r="J317">
        <v>71.930000000000007</v>
      </c>
      <c r="K317">
        <v>72.05</v>
      </c>
      <c r="L317">
        <v>5255762</v>
      </c>
    </row>
    <row r="318" spans="1:12" x14ac:dyDescent="0.3">
      <c r="A318">
        <v>45345.666666666672</v>
      </c>
      <c r="B318">
        <v>509.27</v>
      </c>
      <c r="C318">
        <v>510.13</v>
      </c>
      <c r="D318">
        <v>507.1</v>
      </c>
      <c r="E318">
        <v>507.85</v>
      </c>
      <c r="F318">
        <v>61321818</v>
      </c>
      <c r="G318">
        <v>45345.666666666672</v>
      </c>
      <c r="H318">
        <v>71.930000000000007</v>
      </c>
      <c r="I318">
        <v>72.25</v>
      </c>
      <c r="J318">
        <v>71.930000000000007</v>
      </c>
      <c r="K318">
        <v>72.180000000000007</v>
      </c>
      <c r="L318">
        <v>6147185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value-at-risk</vt:lpstr>
      <vt:lpstr>simulation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2025-05-11T08:09:14Z</dcterms:created>
  <dcterms:modified xsi:type="dcterms:W3CDTF">2025-06-02T03:35:02Z</dcterms:modified>
</cp:coreProperties>
</file>